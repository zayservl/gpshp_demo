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ergeyzay/Documents/VIBE/GPSHP/"/>
    </mc:Choice>
  </mc:AlternateContent>
  <xr:revisionPtr revIDLastSave="0" documentId="13_ncr:1_{A7E3CB13-0C8F-F14B-BDDE-16F29DBCB866}" xr6:coauthVersionLast="47" xr6:coauthVersionMax="47" xr10:uidLastSave="{00000000-0000-0000-0000-000000000000}"/>
  <bookViews>
    <workbookView xWindow="-38400" yWindow="0" windowWidth="38400" windowHeight="21600" xr2:uid="{00000000-000D-0000-FFFF-FFFF00000000}"/>
  </bookViews>
  <sheets>
    <sheet name="Основной список!"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18" i="2" l="1"/>
  <c r="O4" i="2"/>
  <c r="O5" i="2"/>
  <c r="O6" i="2"/>
  <c r="O7" i="2"/>
  <c r="O8" i="2"/>
  <c r="O9" i="2"/>
  <c r="O10" i="2"/>
  <c r="O11" i="2"/>
  <c r="O12" i="2"/>
  <c r="O13" i="2"/>
  <c r="O14" i="2"/>
  <c r="O15" i="2"/>
  <c r="O16" i="2"/>
  <c r="O17"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tc={ED08CFF9-DA23-4302-BCAE-C6F4D19F8AAB}</author>
  </authors>
  <commentList>
    <comment ref="A12" authorId="0" shapeId="0" xr:uid="{ED08CFF9-DA23-4302-BCAE-C6F4D19F8AAB}">
      <text>
        <r>
          <rPr>
            <sz val="11"/>
            <color theme="1"/>
            <rFont val="Aptos Narrow"/>
            <scheme val="minor"/>
          </rPr>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Очень интересный проект! Но в том виде, в котором он представлен (через использование VB) он не относится к ИИ. Альтернатива - использование ML с надстройкой, где сервис будет являться сервисом для всех служб компании с понятным интерфейсом и простой конфигурацией</t>
        </r>
      </text>
    </comment>
  </commentList>
</comments>
</file>

<file path=xl/sharedStrings.xml><?xml version="1.0" encoding="utf-8"?>
<sst xmlns="http://schemas.openxmlformats.org/spreadsheetml/2006/main" count="1023" uniqueCount="463">
  <si>
    <t>Блок / подразделение</t>
  </si>
  <si>
    <t>Название проекта</t>
  </si>
  <si>
    <t>Краткое описание проблемы
(своими словами)</t>
  </si>
  <si>
    <t>Ожидаемая польза (сокращение времени / экономия денег и т.д.)</t>
  </si>
  <si>
    <t>Контактное лицо для первичной проработки вопроса</t>
  </si>
  <si>
    <t>Оценка рисков/сложности</t>
  </si>
  <si>
    <t>Оценка рисков / сложности</t>
  </si>
  <si>
    <t>Оценка MVP, ~</t>
  </si>
  <si>
    <t>Комментарий</t>
  </si>
  <si>
    <t>БСС</t>
  </si>
  <si>
    <t>Производственные проекты</t>
  </si>
  <si>
    <t>Управление качеством. Сопровождающая документация по материалам и оборудованию не в полном комплекте передается, нарушение допустимых сроков эксплуатации ведет к нарушениям и рискам  </t>
  </si>
  <si>
    <t>Предупреждение штрафов, негативных последствий от несоответствий в качестве материалов и оборудования требованиям ПД</t>
  </si>
  <si>
    <t xml:space="preserve">Обухов С.А. </t>
  </si>
  <si>
    <t>🟡</t>
  </si>
  <si>
    <t>10 млн</t>
  </si>
  <si>
    <t>Из-за отсутствия доступа к внутрискважинному пространству\оборудованию человеку, возможности извлечения того или иного поврежденного узла, это условия для снижение объективности и полноты расследования.
Продолжительность расследования.</t>
  </si>
  <si>
    <t>Получение «второго» мнения касательно результатов расследования.
Эффективный\корректный подобранный комплекс мер для предупреждения повторения. 
Сокращение времени\ресурсов на проведение расследования.</t>
  </si>
  <si>
    <t>Обухов С.А. / Химяк Б.В.</t>
  </si>
  <si>
    <t>🔴</t>
  </si>
  <si>
    <t>&gt; 10 млн / Индивид.</t>
  </si>
  <si>
    <t xml:space="preserve">Визуализация физико-технологического процесса строительства скважины </t>
  </si>
  <si>
    <t xml:space="preserve">Выявление скрытых закономерностей между возникающими отклонениями на скважинах (на основании накопления статистики, результатов расследований, отклонений от планов работ, получаемых технологических результатов </t>
  </si>
  <si>
    <t>Предупреждение\идентификация рисков, пересмотр проектных решений, выбор\поиск более эффективной технологии (материалов)</t>
  </si>
  <si>
    <t xml:space="preserve">Отсутствие системы управления рисками в режиме реального времени.
Идентиф.риски и меры их митигации (превентивные и корректирующие д-я) в ходе сезона не отслеживаются / анализируются </t>
  </si>
  <si>
    <t>Предупреждение потерь за счет своевременного регулирования, предупреждение конфликтов между митигирующими мерами, влияние фактического хода на уровень рисков</t>
  </si>
  <si>
    <t>Обухов С.А.</t>
  </si>
  <si>
    <t>БМТС</t>
  </si>
  <si>
    <t>В обществе создано (и будет продолжать создаваться) большое количество НМД, регулирующих закупочную деятельность, а также много различных форм и шаблонов документов, типовых договоров.
Инициатор, проводящий закупочные процедуры не регулярно, испытывает большое затруднение, чтобы правильно подготовиться к закупочной процедуре, сформировать необходимые пакеты документов по правильным шаблонам и используя правильные формы.
ИИ помощник должен в понятной форме провести его по дереву решений, и помочь ему быстро и правильно подготовить пакет документов под его потребность</t>
  </si>
  <si>
    <t>Сокращение времени на подготовку документации, исключение ошибок</t>
  </si>
  <si>
    <t>🟢</t>
  </si>
  <si>
    <t>5 млн</t>
  </si>
  <si>
    <t>Примерно то же самое, как для инициатора, только помощь закупщику. ИИ обучен на внутренних процедурах, шаблонах, критериях закупок и может подсказывать: где найти аналоги, как оформить ТЗ, как проверить поставщика и т.п.</t>
  </si>
  <si>
    <t>&lt; 5 млн</t>
  </si>
  <si>
    <t>При подаче заявок они содержат большое количество ошибок. Необходимо, чтобы ИИ проверял заполненные заявки на наличие всех обязательных данных (единицы измерения, количество, ТУ, согласования), выявлял, а может и исправлял ошибки</t>
  </si>
  <si>
    <t>Сокращение времени на возвраты и переподачи заявок</t>
  </si>
  <si>
    <t xml:space="preserve">Работа с заявками.
Анализ дублирующих заявок и запасов </t>
  </si>
  <si>
    <t xml:space="preserve">При подаче заявок, внутренние заказчики не проверяют на дублирование позиций в ранее поданных заявках и плохо анализируют имеющиеся в обществе запасы для возможного покрытия потребности. Также не учитывают ранее закупленные МТР и имеющиеся на запасах (или в находящиеся в закупке). </t>
  </si>
  <si>
    <t>Исключение дублирующих закупок, снижение запасов, экономия денежных средств</t>
  </si>
  <si>
    <t>5-10 млн</t>
  </si>
  <si>
    <t>Работа с заявками.
Автоматическое сопоставление номенклатуры и аналогов</t>
  </si>
  <si>
    <t>При подаче заявок, внутренние заказчики не проверяют имеющиеся на запасах или находящиеся в закупке аналоги, которые могут закрыть потребность
ИИ-модель обучается на данных закупок и технических описаниях, чтобы автоматически находить аналоги и эквиваленты при поступлении новых заявок, сравнивая не только текст в записях справочника номенклатуры НСИ МТР, а также все сопутствующие документы и согласования.</t>
  </si>
  <si>
    <t>Сокращение времени на поиск аналогов и согласование спецификаций</t>
  </si>
  <si>
    <t>Если сопоставление по артикулам НСИ — 'желтый'. Если поиск функциональных аналогов по тех. описаниям — 'красный'.</t>
  </si>
  <si>
    <t xml:space="preserve">Подготовка с закупке.
Формирование базы цен и поставщиков </t>
  </si>
  <si>
    <t>При подаче заявок требуется изначально их расценить (определить НМЦ), а затем запросить справку наличия лимитов финансирования (СНЛФ). Расценка большого кол-ва позиций может затянуться на длительное время (от 1 до 3 месяцев), особенно импортных ЗИП. Запросы ТКП, в ряде случаев, не корректно направляются в адрес того или иного поставщика, который те или иные МТР не поставляет/не производит</t>
  </si>
  <si>
    <t>Сокращение срока расценки, контроль стоимости МТР, корректность направляемых запросов потенциальным поставщикам (в части номенклатуры)</t>
  </si>
  <si>
    <t>Подготовка с закупке.Поиск претендентов и их предварительная проверка на деловую репутацию, анализ предыдущих закупок</t>
  </si>
  <si>
    <t>При работе с большим объемом заявок с обширным количеством номенклатуры (различной по типу, производителю, назначению и т.д.) у Закупщика уходит значительное количество время на поиск поставщиков способных поставить необходимые МТР. Закупщик проводит анализ открытых источников (веб-сайты) по возможным поставщикам/дилерам или аналогам, не имея понимания по деловой репутации/финансовым показателям поставщиков способных выполнить поставку определенной номенклатуры.</t>
  </si>
  <si>
    <t>Сокращение сроков анализа рынка. Расширение рынка</t>
  </si>
  <si>
    <t>Закупочные процедуры.
Сравнение предложений претендентов и проверка на соответствия критериям при закупке ЗИП, МТР, оборудования, работ и услуг</t>
  </si>
  <si>
    <t xml:space="preserve">При проведении закупочных процедур требуется сопоставление большого количества  параметров для корректной оценки  предложений. От сопоставления наименований и каталожных номеров при закупках ЗИП, до сравнения большого количества требований и параметров при закупке работ, услуг (опыт, материально-технические ресурсы, требования к персоналу, квалификация, наличие разрешительной документации и пр.). Данная информация может предоставляться в различных форматах, быть скрыта в чертежах и прочих различных документах, что затрудняет ее систематизацию и сопоставление. </t>
  </si>
  <si>
    <t>Сокращение сроков проведения закупочных процедур</t>
  </si>
  <si>
    <t>Закупочные процедуры.
Анализ коммерческих предложений</t>
  </si>
  <si>
    <t>ИИ автоматически извлекает ключевые параметры из коммерческих предложений (цена, срок, условия поставки, гарантия)</t>
  </si>
  <si>
    <t>Автоматизация оценки КП</t>
  </si>
  <si>
    <t xml:space="preserve">Исполнение договора.
Анализ и контроль Договорных сроков поставки </t>
  </si>
  <si>
    <t>При контроле срока поставки требуется проверка большого количества Договорных документов и написания запросов в адрес контрагентов. Предполагается за один месяц до наступления срока поставки направление уведомления куратору Договора и запрос поставщику о текущем выполнения обязательств.</t>
  </si>
  <si>
    <t>Предупреждение срыва срока поставки, снижение трудозатрат</t>
  </si>
  <si>
    <t>Исполнение договора.
Анализ и сопоставление наименования и количества по УПД с требованиями по Договору</t>
  </si>
  <si>
    <t xml:space="preserve">При направлении Поставщиком УПД (проектов УПД) на большое количество позиций, у Закупщика  и сотрудников склада уходит много времени на сравнение УПД с требованиями заказа. Выявляются опечатки и несоответствия в количестве, цене и наименовании. </t>
  </si>
  <si>
    <t>Сокращение сроков проверки и проведения УПД, Снижение трудозатрат на корректировки УПД</t>
  </si>
  <si>
    <t>БМТС (отдел логистики и складского хозяйства)</t>
  </si>
  <si>
    <t>Формирование форм запроса предложений по поступающим заявкам и их автоматическая рассылка транспортно-экспедиционным компаниям (в зависимости от требуемого типа перевозки) для получения коммерческих предложений.</t>
  </si>
  <si>
    <t>При поступлении заявок на транспортировку требуется проведения аналитики стоимости и условий транспортировки путем запроса коммерческих предложений (КП). КП могут предоставляться в различных форматах, сопоставление которых занимает дополнительное время. Отправка запросов в транспортно-экспедиционные компании происходит в ручном режиме в формате рассылки каждому адресату.</t>
  </si>
  <si>
    <t>Сокращение сроков получения и сравнения КП на транспортировку</t>
  </si>
  <si>
    <t>Глобальный "поисковик" по любому параметру запроса</t>
  </si>
  <si>
    <t>Формирование любой отчетности в системе 1С за "все годы" деятельности занимает продолжительное время. ИИ модель поможет любому пользователю находить необходимые данные по любому запросу. (Чат-Бот)</t>
  </si>
  <si>
    <t>Сокращение времени на анализ данных</t>
  </si>
  <si>
    <t>Прогнозирование потребности и заявок</t>
  </si>
  <si>
    <t>Модель прогнозирует будущую потребность по каждому виду МТР с учётом сезонности, графиков ремонтов, аварийности и истории заявок</t>
  </si>
  <si>
    <t>Оптимизация запасов, снижение “замороженных” остатков, повышение точности планирования закупок</t>
  </si>
  <si>
    <t>ИИ-анализ отклонений по срокам поставок</t>
  </si>
  <si>
    <t>Система анализирует графики поставок, длительность обработки потребности на каждом этапе и выявляет ранние признаки риска срыва</t>
  </si>
  <si>
    <t>Управление рисками</t>
  </si>
  <si>
    <t>Блок Главного инженера / ПБ</t>
  </si>
  <si>
    <t xml:space="preserve">ИИ-система видеоаналитики. </t>
  </si>
  <si>
    <t xml:space="preserve">С помощью ИИ-фиксируются опасные действия, опасные условия при выполнении работ повышенной опасности. Фото, видео направляются ответственным. </t>
  </si>
  <si>
    <t xml:space="preserve">Снижение числа нарушений, постоянный контроль выполнения РПО </t>
  </si>
  <si>
    <t>Исаченко Ю.В.</t>
  </si>
  <si>
    <t xml:space="preserve">ИИ- контроль выполнения производственных операций. </t>
  </si>
  <si>
    <t>Создание контрольное оценочного алгоритма действий работника при спускоподъёмных операциях на роторном столе ППБУ согласно производственной инструкции ИП-05.03.01.03-02 редакция 2.0</t>
  </si>
  <si>
    <t>Осуществление оценки и контроля последовательности и правильности выполнения спуска подъёмных операций на роторном столе ППБУ.</t>
  </si>
  <si>
    <t>ИИ- оценщик целевого инструктажа перед РПО.</t>
  </si>
  <si>
    <t>При оценке качества целевого инструктажа перед началом РПО ответственные за безопасное производство работ не в полной мере информируют исполнителей о характере, рисках и условия при производстве работ.</t>
  </si>
  <si>
    <t>Осуществление оценки полноты качества проведения целевого инструктажа перед началом работ в соответствии с МД-05.03.01-02 «Требования к проведению целевого инструктажа перед началом работ с заполнением Карты инструктажа перед началом работ (КИПР)».</t>
  </si>
  <si>
    <t>ИИ- экзаменатор.</t>
  </si>
  <si>
    <t xml:space="preserve">С помощью ИИ работники тестируются на знание требований ОТ и ПБ. </t>
  </si>
  <si>
    <t>ИИ оценивает знания по направлению с выдачей рекомендаций.</t>
  </si>
  <si>
    <t>Предиктивный анализ происшествий (аналогично для технических происшествий)</t>
  </si>
  <si>
    <t>Ручной ретроспективный анализ данных не позволяет выявлять скрытые закономерности и "слабые сигналы", ИИ позволит анализировать большой массив данных происшествий и СТОП-карт и определять зоны внимания, формируя "тепловую карту", исходя из которой формировать мероприятия, информационные сессии и обучение персонала.</t>
  </si>
  <si>
    <t>Снижение количества происшествий за счет проактивных мер планирования.</t>
  </si>
  <si>
    <t>Сидоров А.А.</t>
  </si>
  <si>
    <t>Анализ риска перспективных проектов.</t>
  </si>
  <si>
    <t>Для качественного анализа риска реализации проекта требуется провести изучение большого количества документации по проекту, с учетом внутренней документации вовлеченных подрядчиков и ЛНА Общества, относящихся к проекту.</t>
  </si>
  <si>
    <t>Сокращение времени на анализ данных для построения качественного анализа риска проекта</t>
  </si>
  <si>
    <t>ИИ обработка внутренних онлайн курсов обучения.</t>
  </si>
  <si>
    <t>Презентации обучения как правило не имеют озвучки, либо видео, материал хуже усваивается.</t>
  </si>
  <si>
    <t>Использование ИИ может улучшить качество онлайн обучений за счет озвучки и видео без привлечения подрядчиков для "живого звучания" либо отрисовки видеоматериалов. - экономия на услугах подрядчиков для отрисовки и озвучки (Synthesia, Quizlet AI).</t>
  </si>
  <si>
    <t>Анализ ЛНА на актуальность и соответствие друг другу.</t>
  </si>
  <si>
    <t>Внутренние процедуры могут противоречить друг другу, либо напротив иметь пробелы.</t>
  </si>
  <si>
    <t>Возможность использование нейросети для анализа "слабых мест" МД, Производственных инструкций позволит проработать подробнее инструкции и сократить время на согласование, обеспечив полноту данных.</t>
  </si>
  <si>
    <t>Блок Главного инженера / УКК</t>
  </si>
  <si>
    <t>ИИ-система технического надзора и эксплуатационного мониторинга</t>
  </si>
  <si>
    <t>Прогнозирование отказов оборудования ИИ-диагностика коррозии и утечек, предупреждение аварий и простоев буровых и платформ</t>
  </si>
  <si>
    <t>Экономия эксплуатационных расходов до 15%, сокращение простоев</t>
  </si>
  <si>
    <t>Шпаченко И.П.</t>
  </si>
  <si>
    <t>ИИ-помощник для обеспечения промышленной безопасности.</t>
  </si>
  <si>
    <t>Минимизировать аварийность и нарушения техники безопасности.</t>
  </si>
  <si>
    <t>Снижение числа нарушений на 25–30 %, автоматизация контроля.</t>
  </si>
  <si>
    <t>ИИ-вопросно-ответный модуль (на основе терабайт данных ГШП).</t>
  </si>
  <si>
    <t>Специалисты тратят много времени на поиск нужной информации/чертежей/процедур/регламентов и иной информации, необходимой для решения задач ГШП.</t>
  </si>
  <si>
    <t>Сокращение сроков поиска и повышение точности выдачи информации.</t>
  </si>
  <si>
    <t>ИИ-специалист по проверке документации.</t>
  </si>
  <si>
    <t>Проверка документации занимает длительное время. Полная проверка одной папки может занять несколько дней (с учетом проверки отделами ГШП и Заказчика)</t>
  </si>
  <si>
    <t>Кардинальное (в 3-4 раза) сокращение сроков проверки документации и повышение точности проверки.</t>
  </si>
  <si>
    <t>ИИ-ассистент для разработки ОТД.</t>
  </si>
  <si>
    <t>Ряд разрабатываемых документов создается на основе ГОСТов, СП, РД, и т.д. и должны соответствовать имеющимся требованиям. Уходит много времени на изучение, а после изучения, есть большая вероятность ошибиться.</t>
  </si>
  <si>
    <t>Сокращение (в 2-3 раза) разработки сроков; уменьшение количества замечаний от Заказчика и повышение его удовлетворённости.</t>
  </si>
  <si>
    <t>Шпаченко И.П. / Топесов А.Г.</t>
  </si>
  <si>
    <t>Блок Главного инженера / ОИСМ</t>
  </si>
  <si>
    <t>Поиск с учетом понимании смысла и контекста по ЛНА и ОРД Общества.</t>
  </si>
  <si>
    <t>Семантический поиск по тексту документов.</t>
  </si>
  <si>
    <t>Экономия 30–50% времени на поиск, снижение ошибок цитирования</t>
  </si>
  <si>
    <t>Воронков О.А.</t>
  </si>
  <si>
    <t>Система сравнения коммерческих предложений.</t>
  </si>
  <si>
    <t>Сверка условий закупок с учетом расчета кредитного риска.</t>
  </si>
  <si>
    <t xml:space="preserve">Ускорение цикла согласования на 20–30%, меньше ошибок в сравнении условий, снижение риска не поставки МТР и оборудования, не оказания качественной услуги </t>
  </si>
  <si>
    <t>Постановка целей в области качества.</t>
  </si>
  <si>
    <t>Формирование и утверждение целей в области качества, сверка с критериями, декомпозиция до группы, осуществление мониторинга достижения, формирование отчета о достижении</t>
  </si>
  <si>
    <t>Ускорение цикла разработки, согласования, утверждения на 50%, Возможность формировать срез на текущий момент времени</t>
  </si>
  <si>
    <t>Внедрение автоматического расчёта рисков и выдачи рекомендаций с помощью ИИ</t>
  </si>
  <si>
    <t xml:space="preserve">Автоматическая идентификация и анализ рисков. </t>
  </si>
  <si>
    <t>Выявление критических зон, разработка мер реагирования. Генерация плана профилактики и снижения воздействия по актуальным рискам.</t>
  </si>
  <si>
    <t>Управление предложениями по улучшению деятельности.</t>
  </si>
  <si>
    <t>Автоматически сбор и анализ предложений по улучшению.</t>
  </si>
  <si>
    <t>Автоматическое формирование реестра Предложений по улучшению, их анализ, перспективная оценка эффективности, формирование протокола.</t>
  </si>
  <si>
    <t xml:space="preserve">Управление несоответствиями. </t>
  </si>
  <si>
    <t>Не все несоответствия регистрируются и рассматриваются в системе. Медленный анализ несоответствий и недостаточно эффективные корректирующие действия.</t>
  </si>
  <si>
    <t>Охват всех процессов, проектов. Ускорение анализа и предотвращение повторных. случаев, сокращение несоответствий на 20%</t>
  </si>
  <si>
    <t>Анализ потенциальных несоответствий (АПН).</t>
  </si>
  <si>
    <t>Анализ зарегистрированных дефектов на производстве, применение критериев критичности, формирование Реестра потенциальных несоответствий, разработка проекта мероприятий, назначение ответственных. Автоматическое выявление аномалий в деятельности.
Медленный анализ несоответствий и недостаточно эффективные корректирующие действия.</t>
  </si>
  <si>
    <t>Профилактика несоответствий, сокращение их количества. Оперативное реагирование на возможное отклонение. Генерация превентивных рекомендаций.
Снижение возможного ущерба. Автоматическое формирование реестра АПН, анализ причин, разработка предложений по предупреждению. 
(среднее сокращение ПН на 50%).</t>
  </si>
  <si>
    <t>Реагирование на нештатные ситуации.</t>
  </si>
  <si>
    <t>Формирование Реестра нештатных ситуаций. Разработка и согласование плана действий в нештатной ситуации. Учет требований законодательства РФ и прочего.</t>
  </si>
  <si>
    <t xml:space="preserve">Уменьшение времени простоя, ускорение/оперативное реагирования на нештатные ситуации. </t>
  </si>
  <si>
    <t>Управление планами работников.</t>
  </si>
  <si>
    <t>Формирование индивидуальных планов работников на год, квартал, месяц с учетом действующих должностных инструкций, регламентов, положений, программ и т.д.
Потери: неустойки, штрафы Заказчиков.</t>
  </si>
  <si>
    <t>Снижение рисков:
- не охваченности доверенного до работника функционала, 
- просрочки и невыполнения мероприятий.
Уменьшение потерь, трудозатрат.</t>
  </si>
  <si>
    <t>Блок Главного инженера / ПБУ</t>
  </si>
  <si>
    <t>Подбор потенциальных подрядчиков под определенный вид работ (особенно на узкоспециализированные работы) с помощью ИИ</t>
  </si>
  <si>
    <t xml:space="preserve">У инициаторов уходит много времени по проработке рынка потенциальных подрядчиков. </t>
  </si>
  <si>
    <t>Сокращение времени на поиск подрядчиков.</t>
  </si>
  <si>
    <t>Даудов К.Р.</t>
  </si>
  <si>
    <t>Проверка с помощью ИИ стоимостей заключенных договоров с одним КА в течение года.</t>
  </si>
  <si>
    <t>Отсутствие у инициаторов договоров информации о стоимости заключенных договоров с одним КА в течение года, что приводит к неверному выбору процедуры закупки.</t>
  </si>
  <si>
    <t>Своевременная проверка этой информации позволит инициатору принять верное решение по выбору процедуры закупки и позволит сократить время на корректировку документов.</t>
  </si>
  <si>
    <t>Указание характерных причин неисправности выхода из строя/снижения производительности механизма.</t>
  </si>
  <si>
    <t>Поиск причин неисправности, снижения производительности механизма может занимать значительное время и соответственное увеличение времени реагирования на ухудшение рабочих характеристик устройства.</t>
  </si>
  <si>
    <t>Сокращение времени на поиск причин неисправностей.</t>
  </si>
  <si>
    <t>Чирков Ю.Н.</t>
  </si>
  <si>
    <t>Проверка с помощью ИИ формы и условий заключаемого договора.</t>
  </si>
  <si>
    <t>Заключение договоров занимает значительное время.</t>
  </si>
  <si>
    <t>Ускорение процесса согласования договоров.</t>
  </si>
  <si>
    <t>Разработка плана производства работ (ППР) при подготовке выполнения работ по договору.</t>
  </si>
  <si>
    <t>Длительный срок разработки и согласования.</t>
  </si>
  <si>
    <t>Комплексный подход к разработке ППР на основе накопленного опыта, сокращение ошибок при подготовке планов.</t>
  </si>
  <si>
    <t>Коваленко С.Г.</t>
  </si>
  <si>
    <t xml:space="preserve">Разработка карты анализа безопасности работ (КАБР). </t>
  </si>
  <si>
    <t>Отсутствие у подрядчиков опыта работ на объектах Общества и, как следствие, ошибки оценки рисков выполнения работ и длительная подготовка документа.</t>
  </si>
  <si>
    <t>Повышение качества оценки, снижение аварийности при выполнении работ.</t>
  </si>
  <si>
    <t>Коваленко С.Г. с привлечением профильных специалистов ПБ</t>
  </si>
  <si>
    <t>Подготовка анализа безопасности работ перед выполнением работ (АБР).</t>
  </si>
  <si>
    <t>Отсутствие у подрядчиков опыта работ на объектах Общества и, как следствие, ошибки АБР.</t>
  </si>
  <si>
    <t>Проверка с помощью ИИ наличия ранее заключенных Договоров с одним КА, превышающих лимит существенности (3 000 000 руб. с НДС) и внесенных в реестр КА ПАО «Газпром».</t>
  </si>
  <si>
    <t xml:space="preserve">При заключении Договора на малостоимостную закупку (МСЗ) требуется также проверка КА на ранее заключенные Договоры, так как если КА был внесен в реестр КА ПАО «Газпром» (превышен лимит существенности), то все последующие Договоры (в том числе и МСЗ) необходимо вносить в реестр КА.  </t>
  </si>
  <si>
    <t>Исключение ошибочных действий и как следствие потери времени.</t>
  </si>
  <si>
    <t>Согрин Д.А.</t>
  </si>
  <si>
    <t>Проверка с помощью ИИ наличия ранее заключенных Дополнительных соглашений к Договорам на малостоимостную закупку (МСЗ).</t>
  </si>
  <si>
    <t xml:space="preserve">При заключении Договора на малостоимостную закупку (МСЗ) требуется также проверка КА на ранее заключенные Дополнительные соглашения (ДС), так как если ранее для договора МСЗ, не превышеющего лимит существенности (3 000 000 руб. с НДС), были подписаны ДС, на сумму превышающую лимит существенности, то данное ДС вносится в реестр КА ПАО «Газпром». Все последующие ДС и Договоры МСЗ с данным КА необходимо вносить в реестр КА . </t>
  </si>
  <si>
    <t xml:space="preserve">Контроль графика движения Подрядных организаций на борту ППБУ / график выполнения работ и ведение ретроспективных данных. </t>
  </si>
  <si>
    <t>Для заезда на ППБУ суперинтенданты ведут вручную POB (контроль ЧКС), если было бы все автоматически считалось количество свободных мест и велись ретроспективные данные какие подрядчики, когда были на борту и что делали, было бы намного удобнее.</t>
  </si>
  <si>
    <t>Экономия времени для ведения данных вручную в экселе.</t>
  </si>
  <si>
    <t>Мельничук П.В.</t>
  </si>
  <si>
    <t>Автоматическая быстрая помощь в местонахождении СЗЧ  и материалов.</t>
  </si>
  <si>
    <t>Иногда материал числится на складе, но физически он может быть на борту ППБУ у механиков, инженера по комплектации или на берегу в Холмске/ Корсакове. А в наших куче таблиц эксель не всегда можно оперативно найти нужную информацию по местонахождению.</t>
  </si>
  <si>
    <t>Экономия времени для организации работ и более правильное планирование работ.</t>
  </si>
  <si>
    <t>Прогнозирование загруженности ПБУ исходя из анализа данных по планируемым работам из разных договоров, планам по посещениям ПБУ различных комиссий, инспекций и т.д.</t>
  </si>
  <si>
    <t>В настоящее время много различных служб внутри Общества, а также со стороны внешних организаций планируют отправку на ПБУ персонала, при этом возникают ситуации, когда в одно и то же время принять людей на борту невозможно из-за превышения максимального ЧКС.</t>
  </si>
  <si>
    <t>Оптимальное планирование сроков выполнения работ исходя из загруженности ПБУ персоналом, приоритезация критичных работ, заблаговременная корректировка планов (снижение переносов работ, отмен билетов, непроизводственных затрат).</t>
  </si>
  <si>
    <t>Волков С.Ю.</t>
  </si>
  <si>
    <t>Прогнозирование выходов из строя оборудования на основании данных с датчиков судовых систем.</t>
  </si>
  <si>
    <t>В судовых системах ПБУ (ICMS, Cyberbase и т.д.) каждый день фиксируется большое кол-во срабатываний различных сигнализаций и блокировок. Многие из них носят информационный характер и не требуют немедленных действий операторов, вместе с тем, аналитика их появлений может говорить о тенденциях износа оборудования.</t>
  </si>
  <si>
    <t>Прогнозирование сроков выхода из строя оборудования на основании аналитики частоты и характера сигнализаций и блокировок, заблаговременная корректировка Планов ТОиППР на основании данных ИИ.</t>
  </si>
  <si>
    <t>Анализ судовых заявок пи распределение по степени критичности и срочности.</t>
  </si>
  <si>
    <t>В настоящее время все заявки берутся в работу с одинаковым подходом. Критичность озвучивается на еженедельных совещаниях с экипажем, категория проставляется в КВ вручную. Предлагается с помощью ИИ проводить анализ текстов СЗ/Актов/Заявок и сразу определять критичность и срочность, по ключевым словам.</t>
  </si>
  <si>
    <t>Оптимальное распределение ресурсов офисных сотрудников службы снабжения для первоочередного закрытия заявок с высоким приоритетом.</t>
  </si>
  <si>
    <t>Проведение анализа нормативной документации к различным аспектам работы/ ремонта/ модернизации ПБУ.</t>
  </si>
  <si>
    <t>Для поиска подтверждения принятых решения часто приходится обращаться к нормативно технической документации, в том числе на английском языке (API, ISO). Обработка массива документов занимает значительное время.</t>
  </si>
  <si>
    <t>При правильно заданном запросе в ИИ возможно получить список документов, ссылки на пункты правил, что сократит поиск нужных разделов, это даст перечень нормативных, законодательных требований, что в свою очередь повысит безопасность принятых решений.</t>
  </si>
  <si>
    <t>Цукренко М.С.</t>
  </si>
  <si>
    <t xml:space="preserve">Сбор, подсчет и анализ данных по наработке бурового и технологического оборудования ПБУ, консолидация в едином файле учета, с установленных датчиков.  </t>
  </si>
  <si>
    <t>Фиксация фактической наработки оборудования ПБУ.</t>
  </si>
  <si>
    <t>Помощь в организации своевременного ТОиР</t>
  </si>
  <si>
    <t>Бордзиловсикй Л.Л.</t>
  </si>
  <si>
    <t>Оптимизация структуры Ремонтных ведомостей посредством использования ИИ.</t>
  </si>
  <si>
    <t>В ходе подготовки к ремонту / проведения ремонта происходит постоянная трансформация РВ от первично сформированной путем исключения, добавления, изменения отдельных пунктов. Заполнение накопительной рабочей ведомости в соответствии с разделами рем. работ ведется в ручном времязатратном режиме.</t>
  </si>
  <si>
    <t>Сокращение времени, автоматизация распределения данных и их категоризация в блоках РВ, исключение возможности дублирования.</t>
  </si>
  <si>
    <t>Лобанова Н.А.</t>
  </si>
  <si>
    <t>Поддержка принятия решений при оптимизации ремонта (сценарий «что если»).</t>
  </si>
  <si>
    <t>В ходе подготовки к ремонту / проведения ремонта иногда возникают условия, при которых необходимо оперативно выбрать между несколькими работами / сзч в условиях ограничений / оптимизации, что может запустить цепочку долгих обсуждений с различного рода аргументами.</t>
  </si>
  <si>
    <t>Предложенный ИИ сценарий «что если» поможет объективнее оценить последствия отсрочки ремонта / поставки и проранжировать их по критичности для принятия решений.</t>
  </si>
  <si>
    <t>Автоматизация составления/ведения/отправки адресатам ежедневных сводок (например, топливный отчет и т.д.).</t>
  </si>
  <si>
    <t>Технический персонал ПБУ затрачивает время на сбор/ подготовку и отправку материалов ежедневно.</t>
  </si>
  <si>
    <t>Высвобождение времени и уделение большего внимания: технологическому процессу на буровой, контролю за операциями, безопасностью производства.</t>
  </si>
  <si>
    <t>Михайлов П.Г.</t>
  </si>
  <si>
    <t>Автоматизация при составлении технических заданий на ремонт оборудования ПБУ, с включением в ТЗ лучших и современных практик (анализ открытых источников на поиск передовых решений, производственных мощностей, подбора ЗИПов).</t>
  </si>
  <si>
    <t>При подготовке пакета документов для контрактования услуг по ремонту, затрачивается время на подготовку и согласование ТЗ.</t>
  </si>
  <si>
    <t xml:space="preserve">Автоматизация позволит составлять ТЗ при помощи ИИ, предоставляя ИИ в качестве исходных данных отчет о дефектовке. </t>
  </si>
  <si>
    <t>Повышение производственной безопасности путем: 
1.      подключения ИИ к камерам видеонаблюдения ПБУ, 
2.      «машинный» анализ информации с камер видеонаблюдения на ПБУ 
Увеличение количества камер для ликвидации «мертвых» зон.</t>
  </si>
  <si>
    <t>В основном к информации, зафиксированной на камеры, обращаются при происшествии. ИИ будет анализировать на постоянной основе все действия персонала, выявлять нарушения, выдавать рекомендации по снижению нарушений.</t>
  </si>
  <si>
    <t>Снижение рисков травматизма персонала и повышение безопасности труда.</t>
  </si>
  <si>
    <t>Оптимизация организационной и технической документации для функционирования электрохозяйства ПБУ.</t>
  </si>
  <si>
    <t>Необходимость анализа нормативного законодательства РФ в области электроэнергетики с целью актуализации организационно-распорядительной и технической документации по функционированию электрохозяйства ПБУ Общества.</t>
  </si>
  <si>
    <t>Поддержание актуальной базы НТД и своевременная корректировка НМД электрохозяйства ПБУ Общества</t>
  </si>
  <si>
    <t>Никиреев А.В.</t>
  </si>
  <si>
    <t>Проверка селективности срабатывания защит электроэнергетической установки каждой ПБУ.</t>
  </si>
  <si>
    <t>Необходимость анализа значений уставок защит оборудования генерации, распределения и потребления электроэнергии на ПБУ.</t>
  </si>
  <si>
    <t>Повышение отказоустойчивости систем генерации, распределения и потребления электроэнергии на ПБУ</t>
  </si>
  <si>
    <t>Контроль процесса взаимоувязки различных видов ремонтных работ</t>
  </si>
  <si>
    <t xml:space="preserve">Риск допущения одновременного проведения представителями подрядчиков и экипажа ППБУ несовместимых видов ремонтных работ (к примеру – пожароопасных с взрывоопасными) </t>
  </si>
  <si>
    <t>Введение дополнительного звена контроля в процесс планирования и согласования ремонтных работ</t>
  </si>
  <si>
    <t>Сиденко А.П.</t>
  </si>
  <si>
    <t>Анализ технологических, логистических, организационных и ремонтных процессов на предмет наличия лишних операций</t>
  </si>
  <si>
    <t>Многие тех. процессы по тем или иным причинам содержат в себе лишние процедуры и, соответственно, дополнительные трудозатраты</t>
  </si>
  <si>
    <t>Оптимизация рабочих процессов</t>
  </si>
  <si>
    <t>ОДОУ</t>
  </si>
  <si>
    <t>Роботизация обработки входящей корреспонденции</t>
  </si>
  <si>
    <t>В Общество поступает поток документов, который распределяется по адресатам в соответствии с матрицей распределения входящей корреспонденции: в работу, поручение ГД, на ознакомление. Распределение данного потока производится вручную, что существенно увеличивает трудозатраты работников. Необходимо настроить автоматическое распознавание и классификацию документов, излечение и структурирование данных и интеллектуальную обработку контента</t>
  </si>
  <si>
    <t>Автоматизация работы сотрудника отдела документационного обеспечения по разбору входящих документов, увеличение скорости принятия решений и снижение рутинных операций</t>
  </si>
  <si>
    <t>Кочеткова М.</t>
  </si>
  <si>
    <t>БОВ / УРП</t>
  </si>
  <si>
    <t>Автоматизация моделирования смены вахты</t>
  </si>
  <si>
    <t>Речь о формировании списков на смену вахты, автоматической проверке наличия всех необходимых допусков, рассылке информации в профильные службы, графики работ, смен, билеты итд.</t>
  </si>
  <si>
    <t>Снижение риска ошибок в процессе смены вахты, снижение нагрузки на специалистов</t>
  </si>
  <si>
    <t>Гуринова / Оразова</t>
  </si>
  <si>
    <t>Рекрутмент</t>
  </si>
  <si>
    <t>Использование ИИ для первичного скрининга и аналитики резюме (первичное собеседование, входное интервью / тестирование (по сути, прототип системы ВЕНДИ ГПН)</t>
  </si>
  <si>
    <t>Снижение нагрузки на специалистов, высвобождение ресурса для решения более сложных и приоритетных задач</t>
  </si>
  <si>
    <t>БЭК Управление по финансовому и внутреннему контролю</t>
  </si>
  <si>
    <t>Согласование договоров в СЭД</t>
  </si>
  <si>
    <t>Много времени сотрудников тратится на чтение условий договора и поиск тех или иных условий. ИИ мог бы подсветить наличие или отсутствие определенных пунктов в договоре по ключевым словам, например.</t>
  </si>
  <si>
    <t>Сокращение времени</t>
  </si>
  <si>
    <t>Анализ контрагентов на предмет кредитоспособности</t>
  </si>
  <si>
    <t>Анализ финансового положения новых и существующих контрагентов занимает много времени. ИИ мог бы помочь в сборе и анализе данных о к/а (сведения о банкротстве и судебных исках, негативная информация из СМИ, анализ фин состояния)</t>
  </si>
  <si>
    <t>  Клименко И.В./Парицкая О.В.</t>
  </si>
  <si>
    <t>БЭК</t>
  </si>
  <si>
    <t>База данных НМД</t>
  </si>
  <si>
    <t>С появлением большого количества НМД, становится тяжело в них ориентироваться и возникает долгий процесс необходимой информации. О каких-то процессах в Обществе сотрудник может и вовсе не знать/ не помнить.</t>
  </si>
  <si>
    <t>В базу данных ИИ будут загружены все НМД Общества. Появится возможность в диалоговом окне чата задать интересующий вопрос (например: «Если я замещаю коллегу 5 дней, положена ли мне доплата и в каком размере?», «Какой нормативный срок согласования экспертизы материалов на инвестиционном комитете?». ИИ выдаст ответ с ссылкой из какого документа взял данную информацию</t>
  </si>
  <si>
    <t>Паньков М.М.</t>
  </si>
  <si>
    <t>БЭК Отдела управления рисками и внутреннего контроля</t>
  </si>
  <si>
    <t>Ассистент аудитора</t>
  </si>
  <si>
    <t>В ходе аудиторской проверки языковые модели помогают при систематизации условий договоров, извлечении нужной информации из документов. Однако, open-source модели не могут быть использованы для анализа корпоративных документов без нарушения политики конфиденциальности.
Языковой помощник, работающий внутри контура и подключенный к 1С, сможет решать задачи, связанные с массовым просмотром информации в документах, будут выполняться за минуты.</t>
  </si>
  <si>
    <t>Сокращение времени камеральной аудиторской проверки документов более чем на 50%. Конкретный эффект зависит от задачи. Для некоторых задач ожидаемое сокращение трудозатрат составит до 90%</t>
  </si>
  <si>
    <t>Ривкин Кирилл Евгеньевич, вн. тел.:  780-479</t>
  </si>
  <si>
    <t>Структурирование и подготовка исходных данных Бухгалтерского учета</t>
  </si>
  <si>
    <t>Для формирования Управленческого учета на базе бухгалтерской отчетности тратится много времени и ресурсов (например - банковские ковенанты, показатели фин.контроля, эффективность\оптимизация отдельных целевых бюджетов).
Полноценный drill-down с верхнеуровнего показателя в 1С до исходной записи хозяйственной операции без знания методологии бухучета – практически невозможен. Смежные подразделения\проекты вынуждены обращаться в профильные блоки, либо  не используют эти данные вовсе.</t>
  </si>
  <si>
    <t>Оперативное формирование дашбордов для оперативных совещаний на уровне Блока и\или Общества в течение 1-2 дней по итогам закрытия бухгалтерской отчетности.
Сейчас процесс отсутствует ввиду трудоемкости и сложных технических обработок данных</t>
  </si>
  <si>
    <t>Кулясов О.Ф.</t>
  </si>
  <si>
    <t>Структурирование витрины данных в соответствии с ролевой моделью сотрудников и требованиями КТ\КИ (инф.безопасность)</t>
  </si>
  <si>
    <t>При инициации любого проекта (в т.ч. ИТ), в котором есть участники от смежных служб\функций или подрядчиков – возникает вопрос доступа к чувствительной информации.
Это применимо как к операционным проектам Общества, так и в отношении Инвестиционных проектов. На данный момент решение о доступе принимается исходя из «запретить все» что ограничивает скорость и качество проектов</t>
  </si>
  <si>
    <t>Увеличение охвата тестирования ИТ-решений и пользователей отчета на 30-50%.
Это повысит экспертизу вариантов для принятия взвешенного решения</t>
  </si>
  <si>
    <t>Анализ догооров с целью сосатвления чек-листа с ключевыми условиями договров необходимыми для их оперативного согласования и наполнения этими данными информационные системы Общества</t>
  </si>
  <si>
    <t>Формирование с помощью ИИ чек-листа по важным условиям для подразделений Общества проекта и подписанного договора. Занесение необходимой аналитики в карточку договора в информационные системы Общества. ИИ должен дополнительно анализировать изменения которые вносят ДС к нему и корректировать чек-лист и аналитику на основании него. Результат работы ИИ предварительно  должен быть акцептован инициатором/куратором договора. Дополнительно ИИ может анализировать условия договора и выявлять отклонения от типовых условий договора утвержденных в Обществе.
Краткие тезисы из договора (спецификации, или счета-договора): 
 -предмет договора и соответствие комплекта ПУД ему;
- сумма договора;
- условия платежей;
- курс валют при оплате;
- переход права собственности;
- наличие авансов и порядок из зачета;
- многие другие условия</t>
  </si>
  <si>
    <t xml:space="preserve">1. сокращение срока согласования ДД участниками процесса;
2. обогащение аналитикой из договора информационных систем Общества;
3. важные условия договора собраны в одном месте и не требует длительного ремени на прочтение всего договора, а также учитвает изменения которые были внесены через ДС.
</t>
  </si>
  <si>
    <t>Малов А.С./ Музыченко И.А.</t>
  </si>
  <si>
    <t>Анализ НМД (утвержденных и проектов) с помощью ИИ на предмет:
- отсутствия противоречий между НМД;
- выстраивания кросс-функциональных связей между собой;
- визуализация процессов в виде схемы;
- оперативный поиск ответа по шагу интересующего процесса;
- определение узких мест в процессах;
- исключения дублирования функций и процессов между подразделениями и участниками процесса</t>
  </si>
  <si>
    <t xml:space="preserve">1. сокращение срока согласования НМД участниками процесса;
2. оперативный поиск необходимой информации для процессе;
3. исключение ошибок и конфликтов между НМД;
4. визуализация процесса
</t>
  </si>
  <si>
    <t>Малов А.С.</t>
  </si>
  <si>
    <t>Компьютерное зрение + LLM (Large language model большая языковая модель)
Распознавание документов, поступающих по ЭДО и принятие решений о том, что с ними в дальнейшем требуется сделать.</t>
  </si>
  <si>
    <t>По ЭДО поступают первичные документы, информационные письма о смене юридического адреса/названия компании, договорные документы, акты сверки и т.д.. Требуется в момент поступления документов, оперативное принятие решения о том, что далее делать с этим документом и как его маршрутизировать по информационным системам Общества.</t>
  </si>
  <si>
    <t>1. Сокращение срока запуска процесса согласования документооборота поступающего по телекоммуникационным каналам связи через п;
2. оперативное распределение документооборота по процессам;
3. сокращение сроков согласования и отработки документооборота</t>
  </si>
  <si>
    <t>Кондратович Т.С./Малов А.С.</t>
  </si>
  <si>
    <t>Справочная система с ИИ-помощник помогающая ответить на большинство вопросов сотрудников, которая анализирует массив полезной для сотрудника информации размещенной на сетевых ресурсах, корпоративном портале и даже информацию в информационных системах</t>
  </si>
  <si>
    <t>Анализирует большой массив информации размещенной в определенных местах (сетевой ресурс, корпоративный портал, информационные системы), которая может любому сотруднику найти ответ на интересующий рабочий вопрос</t>
  </si>
  <si>
    <t>1. быстрой поиск необходимой информации для оперативного принятия решения;
2. минимизация запросов в смежные подразделения в связи с поиском необходимой информации/запроса</t>
  </si>
  <si>
    <t>Блок морской логистики и развития флота</t>
  </si>
  <si>
    <t>Предиктивное техническое обслуживание флота</t>
  </si>
  <si>
    <t>Риски выхода из строя судового оборудования. Завышение бюджета на закупку СЗЧ для предупреждения поломок.
Прогнозирование потенциальных отказов в работе судовых агрегатов может осуществляться до их возникновения на основе непрерывного мониторинга состояния оборудования через датчики IoT (температура, вибрация, давление, расход топлива)</t>
  </si>
  <si>
    <t>Минимизация рисков простоев судов в результате поломок, оптимизация запасов запчастей</t>
  </si>
  <si>
    <t>Гуртовенко В.И. / Комарчев С.В.</t>
  </si>
  <si>
    <t>90% работы — не ИИ. Это классический IoT. Главная сложность — установка датчиков на суда, обеспечение сбора и передачи данных</t>
  </si>
  <si>
    <t>Моделирование грзооборота на основе плана производства работ и подбор флота</t>
  </si>
  <si>
    <t>Формирование требований к судам для обеспечения грузооборота на проектах строительства скважин осуществляется экспертным методом. Часто отсутствуют данные по планируемому грузообороту, что осложняет подбор оптимальной конфигурации флота.</t>
  </si>
  <si>
    <t>Оптимизация подбора флота за счёт интеллектуального формирования профиля грузооборота скважин на основе анализа исторических данных и графика работ. Снижение расходов на фрахт и минимизация рисков логистических простоев.</t>
  </si>
  <si>
    <t>Майков Т.Г. / Царегородцев М.А.</t>
  </si>
  <si>
    <t> Блок морской логистики и развития флота</t>
  </si>
  <si>
    <t>Оптимизация графика движения судов (ГДС)</t>
  </si>
  <si>
    <t>Большое количество факторов, влияющих на планирование ГДС.
Ежедневная ручная синхронизация графика поставок МТР и персонала с производственными графиками (график бурения, график трубоукладки).
Высокая вероятность человеческой ошибки, ведущей к увеличению затрат.</t>
  </si>
  <si>
    <t>Оптимизация количества судозаходов и расхода топлива судов.
Снижение расходов на аренду оборудования сторонних сервисов</t>
  </si>
  <si>
    <t>Майков Т.Г. / Нелюбов В.В.</t>
  </si>
  <si>
    <t>Оптимизация маршрутов переходов судов с учётом прогнозов погоды</t>
  </si>
  <si>
    <t>Рейсовые задания в малой степени учитывают прогноз погоды на маршруте перехода. Возможна разработка рекомендательной системы для изменения планируемых маршрутов / скорости или времени переходов на базе прогнозных погодных моделей ЦМИ МГУ в цифровой диспетчерской.</t>
  </si>
  <si>
    <t>Экономия топлива, повышение безопасности</t>
  </si>
  <si>
    <t>Майков Т.Г. / Чуркин М.С.</t>
  </si>
  <si>
    <t>Оптимизация графика бункеровок</t>
  </si>
  <si>
    <t>Большой состав флота (до 70 ед. судов на Сахалине) – сложности с синхронизацией потребностей в бункеровках с учётом ГДС и прогнозируемого расхода топлива судов. Увеличение расходов на баржинг</t>
  </si>
  <si>
    <t>Снижение расходов на баржинг за счёт укрупнения грузовых партий топлива. Снижение рисков срочных заявок на поставку топлива</t>
  </si>
  <si>
    <t>Латария И.Э.</t>
  </si>
  <si>
    <t>Проверка соответствия ПУД</t>
  </si>
  <si>
    <t>Большой массив входящей первичной учётной документации должен проверяться на соответствие по форме (корректность заполнения реквизитов, соответствие структуры документа, полнота заполнения) и содержанию – соответствие актов подтверждающим документам, корректность сумм, выделение НДС и т.п.</t>
  </si>
  <si>
    <t>Значительное сокращение времени проверки ПУД, минимизация рисков ошибок</t>
  </si>
  <si>
    <t>Латария И.Э. / Трошина В.Н.</t>
  </si>
  <si>
    <t>Технология Natural Language Processing для анализа баз данных и электронной почты</t>
  </si>
  <si>
    <t>Огромный массив данных, генерируемый в процессе оперативной деятельности (письма, сводки, отчёты) осложняет поиск нужной / актуальной информации. Наличие временного разрыва между запросом требуемой информации и ответом ответственных служб</t>
  </si>
  <si>
    <t>Моментальное извлечение ключевых данных из контрактов (СЭД), грузовых документов (АС ДМП), оперативной переписки (outlook). Получение наиболее актуальной и  объективной информации с ссылками на корпоративные источники</t>
  </si>
  <si>
    <t>Майков Т.Г.</t>
  </si>
  <si>
    <t>Автоматизированная система управления флотом на базе технологии «Магеллан»</t>
  </si>
  <si>
    <t>Низкая скорость обработки оперативных данных, наличие человеческого фактора, долгий поиск правильного принятие организационных и управленческих решений, недостаточная экономическая эффективность</t>
  </si>
  <si>
    <t>Сокращение времени на обработку данных, повышение безопасности и эффективности управления флотом</t>
  </si>
  <si>
    <t>Соляков О.В.</t>
  </si>
  <si>
    <t>Все блоки</t>
  </si>
  <si>
    <t>Автопротокол совещаний</t>
  </si>
  <si>
    <t>Протоколы делаются вручную, на это тратиться много времени, много пропусков и спорных трактовок</t>
  </si>
  <si>
    <t>Сокращение на 30-60 мин формирования каждого протокола, меньше переделок, прозрачные решения / сроки / ответственные</t>
  </si>
  <si>
    <t>Блок  правовых и корпоративных вопросов</t>
  </si>
  <si>
    <t>Проверка лимитов (RPA - Robotic Process Automation).</t>
  </si>
  <si>
    <t>Проверка лимитов (RPA (Robotic Process Automation)  + интеграция).</t>
  </si>
  <si>
    <t xml:space="preserve">Повышения удобства и уровня качества анализа \ работы с данными инженерам.
Сопоставление проектной модели и факта. </t>
  </si>
  <si>
    <r>
      <t xml:space="preserve">Подготовка к закупке.
</t>
    </r>
    <r>
      <rPr>
        <sz val="11"/>
        <color rgb="FF000000"/>
        <rFont val="Arial Narrow"/>
        <family val="2"/>
        <charset val="204"/>
      </rPr>
      <t>ИИ помощник для инициатора</t>
    </r>
  </si>
  <si>
    <r>
      <t xml:space="preserve">Подготовка к закупке.
</t>
    </r>
    <r>
      <rPr>
        <sz val="11"/>
        <color rgb="FF000000"/>
        <rFont val="Arial Narrow"/>
        <family val="2"/>
        <charset val="204"/>
      </rPr>
      <t>ИИ помощник для закупщика</t>
    </r>
  </si>
  <si>
    <r>
      <t>Работа с заявкам</t>
    </r>
    <r>
      <rPr>
        <sz val="11"/>
        <color rgb="FF000000"/>
        <rFont val="Arial Narrow"/>
        <family val="2"/>
        <charset val="204"/>
      </rPr>
      <t>.
Проверка комплектности и корректности заявок</t>
    </r>
  </si>
  <si>
    <t>Оценка стоимости</t>
  </si>
  <si>
    <t>Оценка сложности</t>
  </si>
  <si>
    <t>Интегрированная оценка</t>
  </si>
  <si>
    <r>
      <t xml:space="preserve">"цифровой двойник". 
</t>
    </r>
    <r>
      <rPr>
        <b/>
        <u/>
        <sz val="11"/>
        <color theme="1"/>
        <rFont val="Arial Narrow"/>
        <family val="2"/>
        <charset val="204"/>
      </rPr>
      <t>90% работы — не ИИ</t>
    </r>
    <r>
      <rPr>
        <sz val="11"/>
        <color theme="1"/>
        <rFont val="Arial Narrow"/>
        <family val="2"/>
        <charset val="204"/>
      </rPr>
      <t>, а интеграция с real-time системами (MWD/LWD, АСУ)</t>
    </r>
  </si>
  <si>
    <t>Если это проверка наличия документов по чек-листу — 'зеленый'. 
Если проверка содержания тех. документации — 'желтый'.</t>
  </si>
  <si>
    <t>Если это Q&amp;A-бот по ПБ — 'зеленый'. 
Если это видеоаналитика — красный</t>
  </si>
  <si>
    <r>
      <rPr>
        <b/>
        <u/>
        <sz val="11"/>
        <color theme="1"/>
        <rFont val="Arial Narrow"/>
        <family val="2"/>
        <charset val="204"/>
      </rPr>
      <t xml:space="preserve">90% работы — не ИИ. </t>
    </r>
    <r>
      <rPr>
        <sz val="11"/>
        <color theme="1"/>
        <rFont val="Arial Narrow"/>
        <family val="2"/>
        <charset val="204"/>
      </rPr>
      <t xml:space="preserve">
Задача в подключении к закрытым судовым системам (ICMS, Cyberbase), сборе и передаче телеметрии.</t>
    </r>
  </si>
  <si>
    <t>Автоматизация (RPA - Robotic Process Automation)</t>
  </si>
  <si>
    <t>RPA (Robotic Process Automation) + OCR</t>
  </si>
  <si>
    <t> Клименко И.В. / Минюкова Н.В.</t>
  </si>
  <si>
    <t>Мониторинг дат + авто-уведомления. Больше RPA (Robotic Process Automation), чем AI.</t>
  </si>
  <si>
    <t>90% работы — не ИИ. 
Основная сложность — "сбор" и "подсчет" данных с физических "датчиков", т.е. IoT и Data Engineering</t>
  </si>
  <si>
    <t>90% работы — не ИИ. 
Сложность в инфраструктуре: установка камер на ППБУ, обеспечение сети, передача и хранение видеопотока</t>
  </si>
  <si>
    <t>Марковских К.Д.</t>
  </si>
  <si>
    <t>Автоматическая сборка актуальной редакции договора с учетом ДС + трекинг изменений по пунктам → меньше ошибок версий и быстрее подготовка/согласование.</t>
  </si>
  <si>
    <t>Дашборды/выгрузки по ключевым условиям и отклонениям → быстрый управленческий срез по портфелю и прозрачность рисков.</t>
  </si>
  <si>
    <t>Автовыявление рискованных формулировок + подсказки правок и проверка ссылок → единый стандарт качества и снижение юридических рисков.</t>
  </si>
  <si>
    <t>Генерация/автозаполнение типовых форм в 1 клик → ускорение подготовки документов и снижение ошибок заполнения.</t>
  </si>
  <si>
    <t>Классификация замечаний и аналитика причин возвратов → меньше итераций согласования и возможность улучшать типовые условия на данных.</t>
  </si>
  <si>
    <t>Быстрый перевод с сохранением смысла и терминологии → сокращение времени подготовки писем и снижение расходов на переводы.</t>
  </si>
  <si>
    <t>Автоматическая тематическая классификация и приоритизация входящих → ускорение обработки и снижение риска пропуска критичных сообщений.</t>
  </si>
  <si>
    <t>Автоматическая проверка орфографии/стиля/типовых ошибок → экономия времени на вычитку и снижение репутационных/юридических рисков.</t>
  </si>
  <si>
    <t>Автоформирование чек-листа обязательных документов под задачу → быстрее подготовка пакета и меньше рисков несоответствия требованиям.</t>
  </si>
  <si>
    <t>Автопревращение юртекста в мемо/слайды/инфографику → экономия времени юристов и быстрее принятие решений бизнесом.</t>
  </si>
  <si>
    <t>Смысловой поиск и выявление документов, затронутых изменением норм → повторное использование знаний и снижение комплаенс-рисков.</t>
  </si>
  <si>
    <t>Ускорение первичного DD: перечень рисков/красных флагов и рекомендации → сокращение сроков сделок и повышение качества проверки.</t>
  </si>
  <si>
    <t>Автоматический мониторинг и дайджест изменений по темам → раннее реагирование и снижение риска несоответствия.</t>
  </si>
  <si>
    <t>Подбор практики по смыслу + выявление противоречивых позиций → быстрее подготовка правовой позиции и выше качество аргументации.</t>
  </si>
  <si>
    <t>Единый смысловой поиск по архивам → ускорение проверок/подготовки ответов и снижение трудозатрат.</t>
  </si>
  <si>
    <t>Авторасшифровка и структурированное мемо с решениями/поручениями → экономия времени и лучшее исполнение договоренностей.</t>
  </si>
  <si>
    <t>Выявление узких мест и рекомендаций по улучшению процесса → сокращение цикла и повышение эффективности исполнения.</t>
  </si>
  <si>
    <t>Автоматическое обезличивание/маскирование + обратная подстановка → возможность безопасно использовать внешние ИИ и снизить риск утечек.</t>
  </si>
  <si>
    <t>Договорная работа - Включение в мастер-версию условий вновь заключенного ДС (с возможностью отслеживания версий измененных пунктов)</t>
  </si>
  <si>
    <t>Договорная работа - Аналитика по договорам</t>
  </si>
  <si>
    <t>Договорная работа - Проверка проектов банковских гарантий на соответствие условиям договора и законодательства</t>
  </si>
  <si>
    <t>Договорная работа - Проверка формулировок условий договоров на предмет рисков, соответствия типовой формулировке, корректности ссылок на внешние и внутренние нормы</t>
  </si>
  <si>
    <t>Договорная работа - Подготовка макросов на базе Visual Basic для типовых форм</t>
  </si>
  <si>
    <t>Договорная работа - Анализ подходов служб к условиям договоров, классификация и анализ замечаний</t>
  </si>
  <si>
    <t>Работа с документами - Перевод юридических текстов (например, письма иностранным контрагентам, вручную данная работа занимает довольно много времени)</t>
  </si>
  <si>
    <t>Работа с документами - Анализ входящей корреспонденции от контрагентов на предмет выявления заданных тем</t>
  </si>
  <si>
    <t>Работа с документами - Проверка текстов на наличие опечаток и ошибок</t>
  </si>
  <si>
    <t>Работа с документами - Составление перечней необходимой документации путем анализа применимых обязательных требований</t>
  </si>
  <si>
    <t>Работа с документами - Трансформация юридических заключений и ЛНА в бизнес-формат – мемо для бизнеса, презентация, инфографика, процессная модель</t>
  </si>
  <si>
    <t>Работа с документами - Поиск по базе знаний БПКВ на предмет упоминания определенных тем (файлы разных форматов в папке на сервере). Поиск документов, ссылающихся на изменившиеся нормы закона</t>
  </si>
  <si>
    <t>Иные юридические задачи - Правовой анализ (Due Diligence) – выявление юридических рисков либо факторов, на которые нужно обратить внимание. Возможно предоставление рекомендаций</t>
  </si>
  <si>
    <t>Иные юридические задачи - Мониторинг изменений законодательства</t>
  </si>
  <si>
    <t>Иные юридические задачи - Анализ судебной практики/подбор судебной практики по запросу (не по ключевым словам, как делают правовые базы, а по смыслу написанного). Возможно глубокий анализ с выявлением противоречивой практики, учет фактических условий спорной ситуации по описательной части судебного решения</t>
  </si>
  <si>
    <t>Иные юридические задачи - Поиск информации в файлах разных форматов по смыслу, а не ключевым словам</t>
  </si>
  <si>
    <t>Иные юридические задачи - Мемо совещаний путем расшифровки аудиозаписи</t>
  </si>
  <si>
    <t>Иные юридические задачи - Оптимизация бизнес-процесса по итогам анализа описания бизнес процесса в той или иной форме (графика, таблица, текст).</t>
  </si>
  <si>
    <t>Иные юридические задачи - Исключение из текстовых документов чувствительной информации для целей загрузки документов во внешние нейросети. Обратная интеграция исключенной чувствительной информации в обработанный внешней нейросетью файл</t>
  </si>
  <si>
    <t>Сейчас юристам приходится вручную сводить договор и допсоглашения (ДС) в актуальную редакцию и сверять, какие пункты изменялись - это долго и высокий риск использовать устаревшую версию.</t>
  </si>
  <si>
    <t>Чтобы получить картину по портфелю договоров (ключевые условия, отклонения, риски), нужно вручную просматривать документы и собирать отчеты - это занимает много времени и нет единого среза.</t>
  </si>
  <si>
    <t>Проверка проекта банковской гарантии (БГ) на соответствие договору и требованиям закона выполняется вручную - долго и есть риск пропустить несоответствия, из-за чего БГ отклоняют/возникают риски.</t>
  </si>
  <si>
    <t>Проверка формулировок условий на риски, соответствие типовым формулировкам и корректность ссылок на нормы делается вручную и зависит от опыта - занимает время и возможны пропуски.</t>
  </si>
  <si>
    <t>Типовые формы/договоры заполняются вручную (Word/1С), из-за чего тратится время и возникают ошибки в реквизитах и формулировках.</t>
  </si>
  <si>
    <t>Замечания разных служб к договорам приходят в разном виде и не классифицируются - сложно понять, почему документы возвращаются на доработку, и много времени уходит на ручной анализ причин.</t>
  </si>
  <si>
    <t>Перевод писем и юридических текстов для иностранных контрагентов выполняется вручную/через бюро - это долго и стоит денег.</t>
  </si>
  <si>
    <t>Входящую переписку и документы от контрагентов приходится вручную читать и выделять по темам (претензии, риски, сроки и т.п.) - это долго и есть риск пропустить важное.</t>
  </si>
  <si>
    <t>Вычитка юридических текстов на опечатки и ошибки делается вручную - занимает время, при этом ошибки всё равно могут пройти и создавать репутационные/юридические риски.</t>
  </si>
  <si>
    <t>Перечни обязательной документации под конкретный кейс составляются вручную на основе НПА/требований - это долго и есть риск пропустить обязательные документы.</t>
  </si>
  <si>
    <t>Юрзаключения и ЛНА часто нужно переводить в понятный бизнесу формат (мемо/презентация) вручную - на это уходит много времени юристов.</t>
  </si>
  <si>
    <t>Поиск по базе знаний и папкам на сервере по смыслу, а также выявление документов, завязанных на изменившиеся нормы, вручную крайне трудоемок - знания переиспользуются плохо, риски пропусков высоки.</t>
  </si>
  <si>
    <t>Due Diligence требует анализа большого объема разнородных документов и выявления рисков - вручную это долго и есть риск пропустить критичные факторы.</t>
  </si>
  <si>
    <t>Мониторинг изменений законодательства ведется вручную/разрозненно - легко пропустить важные изменения и поздно реагировать.</t>
  </si>
  <si>
    <t>Подбор судебной практики по смыслу фабулы спора (а не по ключевым словам) и выявление противоречий выполняется вручную - занимает много времени и результаты неполные.</t>
  </si>
  <si>
    <t>Поиск нужной информации в разнородных файлах по смыслу (не по ключевым словам) выполняется вручную - долго, особенно при больших архивах.</t>
  </si>
  <si>
    <t>Подготовка мемо/протоколов совещаний из аудиозаписей делается вручную - занимает много времени и решения/поручения могут теряться.</t>
  </si>
  <si>
    <t>Анализ описаний бизнес-процессов и поиск точек оптимизации выполняется вручную - это трудоемко, субъективно и занимает много времени.</t>
  </si>
  <si>
    <t>Чтобы безопасно использовать внешние нейросети, приходится вручную вычищать конфиденциальные данные и затем обратно вставлять их в результат - долго и высокий риск ошибок/утечек.</t>
  </si>
  <si>
    <t>Автоматическая проверка БГ по чек-листам договора и нормативно-правовым актам → быстрее согласование, меньше отказов и финансовых рисков.</t>
  </si>
  <si>
    <t>ИИ / не ИИ</t>
  </si>
  <si>
    <t>ИИ</t>
  </si>
  <si>
    <t>Не ИИ</t>
  </si>
  <si>
    <t>Robotic Process Automation + проверка допусков</t>
  </si>
  <si>
    <t>Сводка изменений закона с влиянием на БПКВ. Коробка: правовые базы. Добавляем: интерпретацию для договоров.</t>
  </si>
  <si>
    <t>Единый актуальный договор с учетом ДС и ПР + отчет изменений. Коробка: хранение версий в 1С/Word. Добавляем : ИИ-консолидация по сслу, сопоставление пунктов при смене нумерации, контроль противоречий.</t>
  </si>
  <si>
    <t>Дашборд ключевых условий и отклонений от ТФД. Коробка: карточки договоров в 1С. Добавляем : извлечение условий из текста, сравнение по сслу, кластеризация и риск-аналитика.</t>
  </si>
  <si>
    <t>Заключение о соответствии БГ договору и закону + проект замечаний банку. Коробка: чек-листы. Добавляем : автосопоставление БГ с договором и генерация письма.</t>
  </si>
  <si>
    <t>Список рисковых пунктов с вариантами правок. Коробка: отсутствует. Добавляем  с нуля: ИИ-анализ условий и проверка ссылок на нор.</t>
  </si>
  <si>
    <t>Отчет о типовых замечаниях и предложениях по ТФД. Коробка: хранение в 1С. Добавляем : ссловая классификация замечаний.</t>
  </si>
  <si>
    <t>Качественный перевод с единой терминологией. Коробка: Google/DeepL. Добавляем : юрглоссарий и контроль эквивалентности.</t>
  </si>
  <si>
    <t>Аналитическая записка по переписке. Коробка: просмотр PDF. Добавляем : извлечение тем и рисков.</t>
  </si>
  <si>
    <t>Текст без логических ошибок. Коробка: орфография Word. Добавляем : проверка дат, сумм и ссылок.</t>
  </si>
  <si>
    <t>Перечень обязательных документов. Коробка: нет. Добавляем  с нуля: ИИ-подбор требований.</t>
  </si>
  <si>
    <t>Мемо и презентации из юрзаключений. Коробка: нет. Добавляем  с нуля: генерация бизнес-форматов.</t>
  </si>
  <si>
    <t>Поиск по сслу в базе знаний. Коробка: файловый поиск. Добавляем : RAG и семантический индекс.</t>
  </si>
  <si>
    <t>Заключение DD с планом действий. Коробка: нет. Добавляем  с нуля: агрегирование норм и рисков.</t>
  </si>
  <si>
    <t>Единый ссловой поиск в СЭД и анализ санкций. Коробка: атрибутивный поиск. Добавляем : семантический поиск.</t>
  </si>
  <si>
    <t>Протокол ВКС с поручениями. Коробка: нет. Добавляем  с нуля: ASR и структурирование.</t>
  </si>
  <si>
    <t>Предложения по оптимизации БП. Коробка: нет. Добавляем  с нуля: ИИ-анализ ЛНА и почты.</t>
  </si>
  <si>
    <t>Файл без чувствительных данных с обратной подстановкой. Коробка: нет. Добавляем  с нуля: де-идентификацию.</t>
  </si>
  <si>
    <t>Подбор судебной практики по смыслу. Коробка: поиск по словам. Добавляем : анализ по описанию ситуации.</t>
  </si>
  <si>
    <t>Макаров А.Б.</t>
  </si>
  <si>
    <r>
      <t xml:space="preserve">Автоматизация заполнения форм в Word/1С. Коробка: VBA/1С. </t>
    </r>
    <r>
      <rPr>
        <b/>
        <sz val="11"/>
        <rFont val="Arial Narrow"/>
        <family val="2"/>
        <charset val="204"/>
      </rPr>
      <t>ИИ не требуется4</t>
    </r>
  </si>
  <si>
    <t>Интегрированная оценка инициатив/проектов по внедрению ИИ в ГШП</t>
  </si>
  <si>
    <t>Примечание</t>
  </si>
  <si>
    <r>
      <t xml:space="preserve">Не ИИ, но (!) с помощью ИИ можно сделать этот сервис </t>
    </r>
    <r>
      <rPr>
        <b/>
        <u/>
        <sz val="16"/>
        <color theme="1"/>
        <rFont val="Arial Narrow"/>
        <family val="2"/>
        <charset val="204"/>
      </rPr>
      <t>без использования Visual Basic</t>
    </r>
    <r>
      <rPr>
        <b/>
        <sz val="16"/>
        <color theme="1"/>
        <rFont val="Arial Narrow"/>
        <family val="2"/>
        <charset val="204"/>
      </rPr>
      <t xml:space="preserve"> удобным и понятным</t>
    </r>
  </si>
  <si>
    <t>Оценка сложности Nedra</t>
  </si>
  <si>
    <t>Оценка стоимости Nedra</t>
  </si>
  <si>
    <t>3-4 млн</t>
  </si>
  <si>
    <t>3-5 млн</t>
  </si>
  <si>
    <t>4-5 млн</t>
  </si>
  <si>
    <t>5-7 млн</t>
  </si>
  <si>
    <t>5-6 млн</t>
  </si>
  <si>
    <t>1-2 млн</t>
  </si>
  <si>
    <t>2-3 млн</t>
  </si>
  <si>
    <t>2-3 млн (или ИИ-версия 4-5 млн)</t>
  </si>
  <si>
    <t>6-8 млн</t>
  </si>
  <si>
    <t>6-7 млн</t>
  </si>
  <si>
    <t>8-10 млн</t>
  </si>
  <si>
    <t>10-15 млн</t>
  </si>
  <si>
    <t>10-12 млн</t>
  </si>
  <si>
    <t>7-9 млн</t>
  </si>
  <si>
    <t>7-10 млн</t>
  </si>
  <si>
    <t>7-10 млн (уточнение: возможно ИИ-предиктивное 8-12 млн)</t>
  </si>
  <si>
    <t>12-18 млн</t>
  </si>
  <si>
    <t>8-12 млн</t>
  </si>
  <si>
    <t>15-20 млн</t>
  </si>
  <si>
    <t>12-16 млн</t>
  </si>
  <si>
    <t>12-15 млн</t>
  </si>
  <si>
    <t>10-14 млн</t>
  </si>
  <si>
    <t>20-25 млн</t>
  </si>
  <si>
    <t>25-30+ млн</t>
  </si>
  <si>
    <t>25-35+ млн</t>
  </si>
  <si>
    <t>20-30 млн</t>
  </si>
  <si>
    <t>18-25 млн</t>
  </si>
  <si>
    <t>30-50+ млн</t>
  </si>
  <si>
    <t>15-25 млн</t>
  </si>
  <si>
    <t>Оценка MVP Nedra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</si>
</sst>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Aptos Narrow"/>
      <scheme val="minor"/>
    </font>
    <font>
      <sz val="11"/>
      <color theme="1"/>
      <name val="Arial Narrow"/>
      <family val="2"/>
      <charset val="204"/>
    </font>
    <font>
      <b/>
      <sz val="12"/>
      <color theme="1"/>
      <name val="Arial Narrow"/>
      <family val="2"/>
      <charset val="204"/>
    </font>
    <font>
      <sz val="13"/>
      <color theme="1"/>
      <name val="Arial Narrow"/>
      <family val="2"/>
      <charset val="204"/>
    </font>
    <font>
      <sz val="11"/>
      <color rgb="FF434343"/>
      <name val="Arial Narrow"/>
      <family val="2"/>
      <charset val="204"/>
    </font>
    <font>
      <sz val="11"/>
      <color rgb="FF2C481F"/>
      <name val="Arial Narrow"/>
      <family val="2"/>
      <charset val="204"/>
    </font>
    <font>
      <sz val="11"/>
      <color rgb="FF383A3C"/>
      <name val="Arial Narrow"/>
      <family val="2"/>
      <charset val="204"/>
    </font>
    <font>
      <sz val="11"/>
      <color rgb="FF2A3243"/>
      <name val="Arial Narrow"/>
      <family val="2"/>
      <charset val="204"/>
    </font>
    <font>
      <sz val="11"/>
      <color rgb="FF4C535E"/>
      <name val="Arial Narrow"/>
      <family val="2"/>
      <charset val="204"/>
    </font>
    <font>
      <sz val="11"/>
      <color rgb="FF000000"/>
      <name val="Arial Narrow"/>
      <family val="2"/>
      <charset val="204"/>
    </font>
    <font>
      <sz val="11"/>
      <color rgb="FF133819"/>
      <name val="Arial Narrow"/>
      <family val="2"/>
      <charset val="204"/>
    </font>
    <font>
      <sz val="11"/>
      <color rgb="FF363F32"/>
      <name val="Arial Narrow"/>
      <family val="2"/>
      <charset val="204"/>
    </font>
    <font>
      <sz val="11"/>
      <color rgb="FF444D5F"/>
      <name val="Arial Narrow"/>
      <family val="2"/>
      <charset val="204"/>
    </font>
    <font>
      <sz val="11"/>
      <color theme="0"/>
      <name val="Arial Narrow"/>
      <family val="2"/>
      <charset val="204"/>
    </font>
    <font>
      <b/>
      <sz val="16"/>
      <color rgb="FF383A3C"/>
      <name val="Arial Narrow"/>
      <family val="2"/>
      <charset val="204"/>
    </font>
    <font>
      <b/>
      <sz val="16"/>
      <color rgb="FF363F32"/>
      <name val="Arial Narrow"/>
      <family val="2"/>
      <charset val="204"/>
    </font>
    <font>
      <b/>
      <sz val="16"/>
      <color rgb="FF444D5F"/>
      <name val="Arial Narrow"/>
      <family val="2"/>
      <charset val="204"/>
    </font>
    <font>
      <b/>
      <sz val="16"/>
      <color theme="1"/>
      <name val="Arial Narrow"/>
      <family val="2"/>
      <charset val="204"/>
    </font>
    <font>
      <b/>
      <u/>
      <sz val="11"/>
      <color theme="1"/>
      <name val="Arial Narrow"/>
      <family val="2"/>
      <charset val="204"/>
    </font>
    <font>
      <b/>
      <sz val="16"/>
      <color theme="0"/>
      <name val="Arial Narrow"/>
      <family val="2"/>
      <charset val="204"/>
    </font>
    <font>
      <b/>
      <sz val="16"/>
      <name val="Arial Narrow"/>
      <family val="2"/>
      <charset val="204"/>
    </font>
    <font>
      <sz val="11"/>
      <name val="Arial Narrow"/>
      <family val="2"/>
      <charset val="204"/>
    </font>
    <font>
      <b/>
      <sz val="11"/>
      <name val="Arial Narrow"/>
      <family val="2"/>
      <charset val="204"/>
    </font>
    <font>
      <b/>
      <sz val="20"/>
      <color theme="1"/>
      <name val="Arial Narrow"/>
      <family val="2"/>
      <charset val="204"/>
    </font>
    <font>
      <b/>
      <sz val="11"/>
      <color theme="1"/>
      <name val="Arial Narrow"/>
      <family val="2"/>
      <charset val="204"/>
    </font>
    <font>
      <b/>
      <u/>
      <sz val="16"/>
      <color theme="1"/>
      <name val="Arial Narrow"/>
      <family val="2"/>
      <charset val="204"/>
    </font>
    <font>
      <sz val="8"/>
      <name val="Aptos Narrow"/>
      <scheme val="minor"/>
    </font>
  </fonts>
  <fills count="27">
    <fill>
      <patternFill patternType="none"/>
    </fill>
    <fill>
      <patternFill patternType="gray125"/>
    </fill>
    <fill>
      <patternFill patternType="solid">
        <fgColor rgb="FFC1E4F5"/>
        <bgColor rgb="FFC1E4F5"/>
      </patternFill>
    </fill>
    <fill>
      <patternFill patternType="solid">
        <fgColor rgb="FFFFFFFF"/>
        <bgColor rgb="FFFFFFFF"/>
      </patternFill>
    </fill>
    <fill>
      <patternFill patternType="solid">
        <fgColor rgb="FFF6F8F9"/>
        <bgColor rgb="FFF6F8F9"/>
      </patternFill>
    </fill>
    <fill>
      <patternFill patternType="solid">
        <fgColor rgb="FFD9F2D0"/>
        <bgColor rgb="FFD9F2D0"/>
      </patternFill>
    </fill>
    <fill>
      <patternFill patternType="solid">
        <fgColor rgb="FFFEFEDE"/>
        <bgColor rgb="FFFEFEDE"/>
      </patternFill>
    </fill>
    <fill>
      <patternFill patternType="solid">
        <fgColor rgb="FFF2F2F2"/>
        <bgColor rgb="FFF2F2F2"/>
      </patternFill>
    </fill>
    <fill>
      <patternFill patternType="solid">
        <fgColor rgb="FFFFEDE5"/>
        <bgColor rgb="FFFFEDE5"/>
      </patternFill>
    </fill>
    <fill>
      <patternFill patternType="solid">
        <fgColor rgb="FFF1EFFF"/>
        <bgColor rgb="FFF1EFFF"/>
      </patternFill>
    </fill>
    <fill>
      <patternFill patternType="solid">
        <fgColor rgb="FFF7C7AC"/>
        <bgColor rgb="FFF7C7AC"/>
      </patternFill>
    </fill>
    <fill>
      <patternFill patternType="solid">
        <fgColor rgb="FFD9EAD3"/>
        <bgColor rgb="FFD9EAD3"/>
      </patternFill>
    </fill>
    <fill>
      <patternFill patternType="solid">
        <fgColor theme="2" tint="-0.14999847407452621"/>
        <bgColor indexed="64"/>
      </patternFill>
    </fill>
    <fill>
      <patternFill patternType="solid">
        <fgColor theme="5" tint="0.59999389629810485"/>
        <bgColor indexed="64"/>
      </patternFill>
    </fill>
    <fill>
      <patternFill patternType="solid">
        <fgColor rgb="FF92D050"/>
        <bgColor rgb="FFF6F8F9"/>
      </patternFill>
    </fill>
    <fill>
      <patternFill patternType="solid">
        <fgColor rgb="FF92D050"/>
        <bgColor rgb="FFFFFFFF"/>
      </patternFill>
    </fill>
    <fill>
      <patternFill patternType="solid">
        <fgColor theme="5" tint="0.39997558519241921"/>
        <bgColor rgb="FFF6F8F9"/>
      </patternFill>
    </fill>
    <fill>
      <patternFill patternType="solid">
        <fgColor theme="5" tint="0.39997558519241921"/>
        <bgColor rgb="FFFFFFFF"/>
      </patternFill>
    </fill>
    <fill>
      <patternFill patternType="solid">
        <fgColor rgb="FFFFFF00"/>
        <bgColor rgb="FFFFFFFF"/>
      </patternFill>
    </fill>
    <fill>
      <patternFill patternType="solid">
        <fgColor rgb="FFFFFF00"/>
        <bgColor rgb="FFF6F8F9"/>
      </patternFill>
    </fill>
    <fill>
      <patternFill patternType="solid">
        <fgColor rgb="FFFFFF00"/>
        <bgColor indexed="64"/>
      </patternFill>
    </fill>
    <fill>
      <patternFill patternType="solid">
        <fgColor rgb="FFFFFFCC"/>
        <bgColor rgb="FFFFFFFF"/>
      </patternFill>
    </fill>
    <fill>
      <patternFill patternType="solid">
        <fgColor rgb="FFFFFFCC"/>
        <bgColor rgb="FFF6F8F9"/>
      </patternFill>
    </fill>
    <fill>
      <patternFill patternType="solid">
        <fgColor theme="5" tint="0.39997558519241921"/>
        <bgColor indexed="64"/>
      </patternFill>
    </fill>
    <fill>
      <patternFill patternType="solid">
        <fgColor rgb="FF00B050"/>
        <bgColor rgb="FFFFFFFF"/>
      </patternFill>
    </fill>
    <fill>
      <patternFill patternType="solid">
        <fgColor rgb="FF00B050"/>
        <bgColor rgb="FFF6F8F9"/>
      </patternFill>
    </fill>
    <fill>
      <patternFill patternType="solid">
        <fgColor theme="9" tint="0.79998168889431442"/>
        <bgColor rgb="FFFFFFFF"/>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s>
  <cellStyleXfs count="1">
    <xf numFmtId="0" fontId="0" fillId="0" borderId="0"/>
  </cellStyleXfs>
  <cellXfs count="129">
    <xf numFmtId="0" fontId="0" fillId="0" borderId="0" xfId="0"/>
    <xf numFmtId="0" fontId="1" fillId="0" borderId="0" xfId="0" applyFont="1"/>
    <xf numFmtId="0" fontId="3" fillId="0" borderId="0" xfId="0" applyFont="1" applyAlignment="1">
      <alignment vertical="center" wrapText="1"/>
    </xf>
    <xf numFmtId="0" fontId="2" fillId="12" borderId="1" xfId="0" applyFont="1" applyFill="1" applyBorder="1" applyAlignment="1">
      <alignment horizontal="center" vertical="center" wrapText="1"/>
    </xf>
    <xf numFmtId="0" fontId="2" fillId="12" borderId="1" xfId="0" applyFont="1" applyFill="1" applyBorder="1" applyAlignment="1">
      <alignment horizontal="center" vertical="center"/>
    </xf>
    <xf numFmtId="0" fontId="1" fillId="2" borderId="1" xfId="0" applyFont="1" applyFill="1" applyBorder="1" applyAlignment="1">
      <alignment vertical="center" wrapText="1"/>
    </xf>
    <xf numFmtId="0" fontId="1" fillId="0" borderId="1" xfId="0" applyFont="1" applyBorder="1" applyAlignment="1">
      <alignment vertical="center" wrapText="1"/>
    </xf>
    <xf numFmtId="0" fontId="1" fillId="5" borderId="1" xfId="0" applyFont="1" applyFill="1" applyBorder="1" applyAlignment="1">
      <alignment vertical="center" wrapText="1"/>
    </xf>
    <xf numFmtId="0" fontId="1" fillId="6" borderId="1" xfId="0" applyFont="1" applyFill="1" applyBorder="1" applyAlignment="1">
      <alignment vertical="center" wrapText="1"/>
    </xf>
    <xf numFmtId="0" fontId="1" fillId="7" borderId="1" xfId="0" applyFont="1" applyFill="1" applyBorder="1" applyAlignment="1">
      <alignment vertical="center" wrapText="1"/>
    </xf>
    <xf numFmtId="0" fontId="1" fillId="0" borderId="1" xfId="0" applyFont="1" applyBorder="1" applyAlignment="1">
      <alignment vertical="center"/>
    </xf>
    <xf numFmtId="0" fontId="1" fillId="8" borderId="1" xfId="0" applyFont="1" applyFill="1" applyBorder="1" applyAlignment="1">
      <alignment vertical="center" wrapText="1"/>
    </xf>
    <xf numFmtId="0" fontId="1" fillId="9" borderId="1" xfId="0" applyFont="1" applyFill="1" applyBorder="1" applyAlignment="1">
      <alignment vertical="center" wrapText="1"/>
    </xf>
    <xf numFmtId="0" fontId="5" fillId="4" borderId="1" xfId="0" applyFont="1" applyFill="1" applyBorder="1" applyAlignment="1">
      <alignment vertical="center"/>
    </xf>
    <xf numFmtId="0" fontId="7" fillId="3" borderId="1" xfId="0" applyFont="1" applyFill="1" applyBorder="1" applyAlignment="1">
      <alignment vertical="center"/>
    </xf>
    <xf numFmtId="0" fontId="7" fillId="4" borderId="1" xfId="0" applyFont="1" applyFill="1" applyBorder="1" applyAlignment="1">
      <alignment vertical="center"/>
    </xf>
    <xf numFmtId="0" fontId="10" fillId="4" borderId="1" xfId="0" applyFont="1" applyFill="1" applyBorder="1" applyAlignment="1">
      <alignment vertical="center"/>
    </xf>
    <xf numFmtId="0" fontId="10" fillId="3" borderId="1" xfId="0" applyFont="1" applyFill="1" applyBorder="1" applyAlignment="1">
      <alignment vertical="center"/>
    </xf>
    <xf numFmtId="0" fontId="5" fillId="3" borderId="1" xfId="0" applyFont="1" applyFill="1" applyBorder="1" applyAlignment="1">
      <alignment vertical="center"/>
    </xf>
    <xf numFmtId="0" fontId="10" fillId="0" borderId="1" xfId="0" applyFont="1" applyBorder="1" applyAlignment="1">
      <alignment vertical="center"/>
    </xf>
    <xf numFmtId="0" fontId="9" fillId="10" borderId="1" xfId="0" applyFont="1" applyFill="1" applyBorder="1" applyAlignment="1">
      <alignment horizontal="left" vertical="center"/>
    </xf>
    <xf numFmtId="0" fontId="9" fillId="0" borderId="1" xfId="0" applyFont="1" applyBorder="1" applyAlignment="1">
      <alignment horizontal="left" vertical="center"/>
    </xf>
    <xf numFmtId="0" fontId="9" fillId="11" borderId="1" xfId="0" applyFont="1" applyFill="1" applyBorder="1" applyAlignment="1">
      <alignment horizontal="left" vertical="center" wrapText="1"/>
    </xf>
    <xf numFmtId="0" fontId="1" fillId="0" borderId="0" xfId="0" applyFont="1" applyAlignment="1">
      <alignment horizont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3" fillId="3" borderId="1" xfId="0" applyFont="1" applyFill="1" applyBorder="1" applyAlignment="1">
      <alignment horizontal="center" vertical="center"/>
    </xf>
    <xf numFmtId="0" fontId="13" fillId="14" borderId="1" xfId="0" applyFont="1" applyFill="1" applyBorder="1" applyAlignment="1">
      <alignment horizontal="center" vertical="center"/>
    </xf>
    <xf numFmtId="0" fontId="13" fillId="15" borderId="1" xfId="0" applyFont="1" applyFill="1" applyBorder="1" applyAlignment="1">
      <alignment horizontal="center" vertical="center"/>
    </xf>
    <xf numFmtId="0" fontId="1" fillId="14" borderId="1" xfId="0" applyFont="1" applyFill="1" applyBorder="1" applyAlignment="1">
      <alignment horizontal="center" vertical="center"/>
    </xf>
    <xf numFmtId="0" fontId="1" fillId="15" borderId="1" xfId="0" applyFont="1" applyFill="1" applyBorder="1" applyAlignment="1">
      <alignment horizontal="center" vertical="center"/>
    </xf>
    <xf numFmtId="0" fontId="1" fillId="19" borderId="1" xfId="0" applyFont="1" applyFill="1" applyBorder="1" applyAlignment="1">
      <alignment horizontal="center" vertical="center"/>
    </xf>
    <xf numFmtId="0" fontId="1" fillId="18" borderId="1" xfId="0" applyFont="1" applyFill="1" applyBorder="1" applyAlignment="1">
      <alignment horizontal="center" vertical="center"/>
    </xf>
    <xf numFmtId="0" fontId="1" fillId="16" borderId="1" xfId="0" applyFont="1" applyFill="1" applyBorder="1" applyAlignment="1">
      <alignment horizontal="center" vertical="center"/>
    </xf>
    <xf numFmtId="0" fontId="1" fillId="17" borderId="1" xfId="0"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6" fillId="15" borderId="1" xfId="0" applyNumberFormat="1" applyFont="1" applyFill="1" applyBorder="1" applyAlignment="1">
      <alignment horizontal="center" vertical="center"/>
    </xf>
    <xf numFmtId="2" fontId="14" fillId="21" borderId="1" xfId="0" applyNumberFormat="1" applyFont="1" applyFill="1" applyBorder="1" applyAlignment="1">
      <alignment horizontal="center" vertical="center"/>
    </xf>
    <xf numFmtId="2" fontId="15" fillId="22" borderId="1" xfId="0" applyNumberFormat="1" applyFont="1" applyFill="1" applyBorder="1" applyAlignment="1">
      <alignment horizontal="center" vertical="center"/>
    </xf>
    <xf numFmtId="2" fontId="15" fillId="21" borderId="1" xfId="0" applyNumberFormat="1" applyFont="1" applyFill="1" applyBorder="1" applyAlignment="1">
      <alignment horizontal="center" vertical="center"/>
    </xf>
    <xf numFmtId="2" fontId="14" fillId="22" borderId="1" xfId="0" applyNumberFormat="1" applyFont="1" applyFill="1" applyBorder="1" applyAlignment="1">
      <alignment horizontal="center" vertical="center"/>
    </xf>
    <xf numFmtId="2" fontId="16" fillId="21" borderId="1" xfId="0" applyNumberFormat="1" applyFont="1" applyFill="1" applyBorder="1" applyAlignment="1">
      <alignment horizontal="center" vertical="center"/>
    </xf>
    <xf numFmtId="2" fontId="19" fillId="24" borderId="1" xfId="0" applyNumberFormat="1" applyFont="1" applyFill="1" applyBorder="1" applyAlignment="1">
      <alignment horizontal="center" vertical="center"/>
    </xf>
    <xf numFmtId="2" fontId="19" fillId="25" borderId="1" xfId="0" applyNumberFormat="1" applyFont="1" applyFill="1" applyBorder="1" applyAlignment="1">
      <alignment horizontal="center" vertical="center"/>
    </xf>
    <xf numFmtId="0" fontId="11" fillId="15" borderId="1" xfId="0" applyFont="1" applyFill="1" applyBorder="1" applyAlignment="1">
      <alignment horizontal="center" vertical="center"/>
    </xf>
    <xf numFmtId="0" fontId="11"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6" fillId="15" borderId="1" xfId="0" applyFont="1" applyFill="1" applyBorder="1" applyAlignment="1">
      <alignment horizontal="center" vertical="center"/>
    </xf>
    <xf numFmtId="0" fontId="12" fillId="15" borderId="1" xfId="0" applyFont="1" applyFill="1" applyBorder="1" applyAlignment="1">
      <alignment horizontal="center" vertical="center"/>
    </xf>
    <xf numFmtId="0" fontId="6" fillId="18" borderId="1" xfId="0" applyFont="1" applyFill="1" applyBorder="1" applyAlignment="1">
      <alignment horizontal="center" vertical="center"/>
    </xf>
    <xf numFmtId="0" fontId="11" fillId="19" borderId="1" xfId="0" applyFont="1" applyFill="1" applyBorder="1" applyAlignment="1">
      <alignment horizontal="center" vertical="center"/>
    </xf>
    <xf numFmtId="0" fontId="11" fillId="18" borderId="1" xfId="0" applyFont="1" applyFill="1" applyBorder="1" applyAlignment="1">
      <alignment horizontal="center" vertical="center"/>
    </xf>
    <xf numFmtId="0" fontId="6" fillId="19" borderId="1" xfId="0" applyFont="1" applyFill="1" applyBorder="1" applyAlignment="1">
      <alignment horizontal="center" vertical="center"/>
    </xf>
    <xf numFmtId="0" fontId="12" fillId="18" borderId="1" xfId="0" applyFont="1" applyFill="1" applyBorder="1" applyAlignment="1">
      <alignment horizontal="center" vertical="center"/>
    </xf>
    <xf numFmtId="0" fontId="12" fillId="19" borderId="1" xfId="0" applyFont="1" applyFill="1" applyBorder="1" applyAlignment="1">
      <alignment horizontal="center" vertical="center"/>
    </xf>
    <xf numFmtId="0" fontId="1" fillId="20" borderId="1" xfId="0" applyFont="1" applyFill="1" applyBorder="1" applyAlignment="1">
      <alignment horizontal="center" vertical="center"/>
    </xf>
    <xf numFmtId="0" fontId="6" fillId="16" borderId="1" xfId="0" applyFont="1" applyFill="1" applyBorder="1" applyAlignment="1">
      <alignment horizontal="center" vertical="center"/>
    </xf>
    <xf numFmtId="0" fontId="6" fillId="17" borderId="1" xfId="0" applyFont="1" applyFill="1" applyBorder="1" applyAlignment="1">
      <alignment horizontal="center" vertical="center"/>
    </xf>
    <xf numFmtId="0" fontId="8" fillId="16" borderId="1" xfId="0" applyFont="1" applyFill="1" applyBorder="1" applyAlignment="1">
      <alignment horizontal="center" vertical="center"/>
    </xf>
    <xf numFmtId="0" fontId="8" fillId="17" borderId="1" xfId="0" applyFont="1" applyFill="1" applyBorder="1" applyAlignment="1">
      <alignment horizontal="center" vertical="center"/>
    </xf>
    <xf numFmtId="0" fontId="1" fillId="9" borderId="2" xfId="0" applyFont="1" applyFill="1" applyBorder="1" applyAlignment="1">
      <alignment vertical="center" wrapText="1"/>
    </xf>
    <xf numFmtId="0" fontId="1" fillId="0" borderId="2" xfId="0" applyFont="1" applyBorder="1" applyAlignment="1">
      <alignment vertical="center" wrapText="1"/>
    </xf>
    <xf numFmtId="2" fontId="17" fillId="26" borderId="1" xfId="0" applyNumberFormat="1" applyFont="1" applyFill="1" applyBorder="1" applyAlignment="1">
      <alignment horizontal="center" vertical="center"/>
    </xf>
    <xf numFmtId="2" fontId="17" fillId="16" borderId="1" xfId="0" applyNumberFormat="1" applyFont="1" applyFill="1" applyBorder="1" applyAlignment="1">
      <alignment horizontal="center" vertical="center"/>
    </xf>
    <xf numFmtId="0" fontId="13" fillId="4" borderId="2" xfId="0" applyFont="1" applyFill="1" applyBorder="1" applyAlignment="1">
      <alignment horizontal="center" vertical="center"/>
    </xf>
    <xf numFmtId="0" fontId="8" fillId="17" borderId="2" xfId="0" applyFont="1" applyFill="1" applyBorder="1" applyAlignment="1">
      <alignment horizontal="center" vertical="center"/>
    </xf>
    <xf numFmtId="0" fontId="1" fillId="0" borderId="1" xfId="0" applyFont="1" applyBorder="1"/>
    <xf numFmtId="2" fontId="17" fillId="26" borderId="0" xfId="0" applyNumberFormat="1" applyFont="1" applyFill="1" applyAlignment="1">
      <alignment horizontal="center" vertical="center"/>
    </xf>
    <xf numFmtId="0" fontId="1" fillId="0" borderId="1" xfId="0" applyFont="1" applyBorder="1" applyAlignment="1">
      <alignment horizontal="left" vertical="center" wrapText="1"/>
    </xf>
    <xf numFmtId="2" fontId="20" fillId="16" borderId="1" xfId="0" applyNumberFormat="1" applyFont="1" applyFill="1" applyBorder="1" applyAlignment="1">
      <alignment horizontal="center" vertical="center"/>
    </xf>
    <xf numFmtId="0" fontId="21" fillId="0" borderId="1" xfId="0" applyFont="1" applyBorder="1" applyAlignment="1">
      <alignment vertical="center" wrapText="1"/>
    </xf>
    <xf numFmtId="2" fontId="20" fillId="22" borderId="1" xfId="0" applyNumberFormat="1" applyFont="1" applyFill="1" applyBorder="1" applyAlignment="1">
      <alignment horizontal="center" vertical="center"/>
    </xf>
    <xf numFmtId="2" fontId="20" fillId="21" borderId="1" xfId="0" applyNumberFormat="1" applyFont="1" applyFill="1" applyBorder="1" applyAlignment="1">
      <alignment horizontal="center" vertical="center"/>
    </xf>
    <xf numFmtId="2" fontId="20" fillId="19" borderId="1" xfId="0" applyNumberFormat="1" applyFont="1" applyFill="1" applyBorder="1" applyAlignment="1">
      <alignment horizontal="center" vertical="center"/>
    </xf>
    <xf numFmtId="2" fontId="20" fillId="18" borderId="1" xfId="0" applyNumberFormat="1" applyFont="1" applyFill="1" applyBorder="1" applyAlignment="1">
      <alignment horizontal="center" vertical="center"/>
    </xf>
    <xf numFmtId="2" fontId="20" fillId="20" borderId="1" xfId="0" applyNumberFormat="1" applyFont="1" applyFill="1" applyBorder="1" applyAlignment="1">
      <alignment horizontal="center" vertical="center"/>
    </xf>
    <xf numFmtId="2" fontId="20" fillId="17" borderId="1" xfId="0" applyNumberFormat="1" applyFont="1" applyFill="1" applyBorder="1" applyAlignment="1">
      <alignment horizontal="center" vertical="center"/>
    </xf>
    <xf numFmtId="2" fontId="20" fillId="17" borderId="2" xfId="0" applyNumberFormat="1" applyFont="1" applyFill="1" applyBorder="1" applyAlignment="1">
      <alignment horizontal="center" vertical="center"/>
    </xf>
    <xf numFmtId="2" fontId="20" fillId="16" borderId="2" xfId="0" applyNumberFormat="1" applyFont="1" applyFill="1" applyBorder="1" applyAlignment="1">
      <alignment horizontal="center" vertical="center"/>
    </xf>
    <xf numFmtId="0" fontId="21" fillId="0" borderId="2" xfId="0" applyFont="1" applyBorder="1" applyAlignment="1">
      <alignment vertical="center" wrapText="1"/>
    </xf>
    <xf numFmtId="0" fontId="24" fillId="12" borderId="0" xfId="0" applyFont="1" applyFill="1" applyAlignment="1">
      <alignment horizontal="center" vertical="center"/>
    </xf>
    <xf numFmtId="0" fontId="17" fillId="0" borderId="0" xfId="0" applyFont="1" applyAlignment="1">
      <alignment wrapText="1"/>
    </xf>
    <xf numFmtId="0" fontId="23" fillId="0" borderId="0" xfId="0" applyFont="1" applyAlignment="1">
      <alignment horizontal="center" vertical="center"/>
    </xf>
    <xf numFmtId="0" fontId="2" fillId="12" borderId="3" xfId="0" applyFont="1" applyFill="1" applyBorder="1" applyAlignment="1">
      <alignment horizontal="center" vertical="center" wrapText="1"/>
    </xf>
    <xf numFmtId="0" fontId="1" fillId="15" borderId="3" xfId="0" applyFont="1" applyFill="1" applyBorder="1" applyAlignment="1">
      <alignment horizontal="center" vertical="center"/>
    </xf>
    <xf numFmtId="0" fontId="1" fillId="18" borderId="3" xfId="0" applyFont="1" applyFill="1" applyBorder="1" applyAlignment="1">
      <alignment horizontal="center" vertical="center"/>
    </xf>
    <xf numFmtId="0" fontId="1" fillId="17" borderId="3" xfId="0" applyFont="1" applyFill="1" applyBorder="1" applyAlignment="1">
      <alignment horizontal="center" vertical="center"/>
    </xf>
    <xf numFmtId="0" fontId="1" fillId="17" borderId="4" xfId="0" applyFont="1" applyFill="1" applyBorder="1" applyAlignment="1">
      <alignment horizontal="center" vertical="center"/>
    </xf>
    <xf numFmtId="0" fontId="2" fillId="12" borderId="5" xfId="0" applyFont="1" applyFill="1" applyBorder="1" applyAlignment="1">
      <alignment horizontal="center" vertical="center" wrapText="1"/>
    </xf>
    <xf numFmtId="0" fontId="1" fillId="0" borderId="5" xfId="0" applyFont="1" applyBorder="1" applyAlignment="1">
      <alignment vertical="center" wrapText="1"/>
    </xf>
    <xf numFmtId="0" fontId="1" fillId="23" borderId="5" xfId="0" applyFont="1" applyFill="1" applyBorder="1" applyAlignment="1">
      <alignment vertical="center" wrapText="1"/>
    </xf>
    <xf numFmtId="0" fontId="21" fillId="23" borderId="5" xfId="0" applyFont="1" applyFill="1" applyBorder="1" applyAlignment="1">
      <alignment vertical="center" wrapText="1"/>
    </xf>
    <xf numFmtId="0" fontId="1" fillId="13" borderId="5" xfId="0" applyFont="1" applyFill="1" applyBorder="1" applyAlignment="1">
      <alignment vertical="center" wrapText="1"/>
    </xf>
    <xf numFmtId="0" fontId="1" fillId="0" borderId="6" xfId="0" applyFont="1" applyBorder="1" applyAlignment="1">
      <alignment vertical="center" wrapText="1"/>
    </xf>
    <xf numFmtId="0" fontId="1" fillId="0" borderId="7" xfId="0" applyFont="1" applyBorder="1"/>
    <xf numFmtId="0" fontId="2" fillId="12" borderId="8" xfId="0" applyFont="1" applyFill="1" applyBorder="1" applyAlignment="1">
      <alignment horizontal="center" vertical="center" wrapText="1"/>
    </xf>
    <xf numFmtId="0" fontId="1" fillId="15" borderId="8" xfId="0" applyFont="1" applyFill="1" applyBorder="1" applyAlignment="1">
      <alignment horizontal="center" vertical="center"/>
    </xf>
    <xf numFmtId="0" fontId="1" fillId="18" borderId="8" xfId="0" applyFont="1" applyFill="1" applyBorder="1" applyAlignment="1">
      <alignment horizontal="center" vertical="center"/>
    </xf>
    <xf numFmtId="0" fontId="1" fillId="17" borderId="8" xfId="0" applyFont="1" applyFill="1" applyBorder="1" applyAlignment="1">
      <alignment horizontal="center" vertical="center"/>
    </xf>
    <xf numFmtId="0" fontId="1" fillId="17" borderId="9" xfId="0" applyFont="1" applyFill="1" applyBorder="1" applyAlignment="1">
      <alignment horizontal="center" vertical="center"/>
    </xf>
    <xf numFmtId="0" fontId="2" fillId="12" borderId="3" xfId="0" applyFont="1" applyFill="1" applyBorder="1" applyAlignment="1">
      <alignment horizontal="center" vertical="center"/>
    </xf>
    <xf numFmtId="0" fontId="11" fillId="15" borderId="3" xfId="0" applyFont="1" applyFill="1" applyBorder="1" applyAlignment="1">
      <alignment horizontal="center" vertical="center"/>
    </xf>
    <xf numFmtId="0" fontId="11" fillId="14" borderId="3" xfId="0" applyFont="1" applyFill="1" applyBorder="1" applyAlignment="1">
      <alignment horizontal="center" vertical="center"/>
    </xf>
    <xf numFmtId="0" fontId="12" fillId="14" borderId="3" xfId="0" applyFont="1" applyFill="1" applyBorder="1" applyAlignment="1">
      <alignment horizontal="center" vertical="center"/>
    </xf>
    <xf numFmtId="0" fontId="6" fillId="15" borderId="3" xfId="0" applyFont="1" applyFill="1" applyBorder="1" applyAlignment="1">
      <alignment horizontal="center" vertical="center"/>
    </xf>
    <xf numFmtId="0" fontId="12" fillId="15" borderId="3" xfId="0" applyFont="1" applyFill="1" applyBorder="1" applyAlignment="1">
      <alignment horizontal="center" vertical="center"/>
    </xf>
    <xf numFmtId="0" fontId="6" fillId="18" borderId="3" xfId="0" applyFont="1" applyFill="1" applyBorder="1" applyAlignment="1">
      <alignment horizontal="center" vertical="center"/>
    </xf>
    <xf numFmtId="0" fontId="11" fillId="19" borderId="3" xfId="0" applyFont="1" applyFill="1" applyBorder="1" applyAlignment="1">
      <alignment horizontal="center" vertical="center"/>
    </xf>
    <xf numFmtId="0" fontId="11" fillId="18" borderId="3" xfId="0" applyFont="1" applyFill="1" applyBorder="1" applyAlignment="1">
      <alignment horizontal="center" vertical="center"/>
    </xf>
    <xf numFmtId="0" fontId="6" fillId="19" borderId="3" xfId="0" applyFont="1" applyFill="1" applyBorder="1" applyAlignment="1">
      <alignment horizontal="center" vertical="center"/>
    </xf>
    <xf numFmtId="0" fontId="12" fillId="18" borderId="3" xfId="0" applyFont="1" applyFill="1" applyBorder="1" applyAlignment="1">
      <alignment horizontal="center" vertical="center"/>
    </xf>
    <xf numFmtId="0" fontId="12" fillId="19" borderId="3" xfId="0" applyFont="1" applyFill="1" applyBorder="1" applyAlignment="1">
      <alignment horizontal="center" vertical="center"/>
    </xf>
    <xf numFmtId="0" fontId="1" fillId="20" borderId="3" xfId="0" applyFont="1" applyFill="1" applyBorder="1" applyAlignment="1">
      <alignment horizontal="center" vertical="center"/>
    </xf>
    <xf numFmtId="0" fontId="8" fillId="16" borderId="3" xfId="0" applyFont="1" applyFill="1" applyBorder="1" applyAlignment="1">
      <alignment horizontal="center" vertical="center"/>
    </xf>
    <xf numFmtId="0" fontId="6" fillId="16" borderId="3" xfId="0" applyFont="1" applyFill="1" applyBorder="1" applyAlignment="1">
      <alignment horizontal="center" vertical="center"/>
    </xf>
    <xf numFmtId="0" fontId="6" fillId="17" borderId="3" xfId="0" applyFont="1" applyFill="1" applyBorder="1" applyAlignment="1">
      <alignment horizontal="center" vertical="center"/>
    </xf>
    <xf numFmtId="0" fontId="8" fillId="17" borderId="3" xfId="0" applyFont="1" applyFill="1" applyBorder="1" applyAlignment="1">
      <alignment horizontal="center" vertical="center"/>
    </xf>
    <xf numFmtId="0" fontId="8" fillId="17" borderId="4" xfId="0" applyFont="1" applyFill="1" applyBorder="1" applyAlignment="1">
      <alignment horizontal="center" vertical="center"/>
    </xf>
    <xf numFmtId="0" fontId="6" fillId="17" borderId="4" xfId="0" applyFont="1" applyFill="1" applyBorder="1" applyAlignment="1">
      <alignment horizontal="center" vertical="center"/>
    </xf>
    <xf numFmtId="0" fontId="6" fillId="16" borderId="4" xfId="0" applyFont="1" applyFill="1" applyBorder="1" applyAlignment="1">
      <alignment horizontal="center" vertical="center"/>
    </xf>
    <xf numFmtId="0" fontId="8" fillId="16" borderId="4" xfId="0" applyFont="1" applyFill="1" applyBorder="1" applyAlignment="1">
      <alignment horizontal="center" vertical="center"/>
    </xf>
    <xf numFmtId="0" fontId="3" fillId="0" borderId="1" xfId="0" applyFont="1" applyBorder="1" applyAlignment="1">
      <alignment vertical="center" wrapText="1"/>
    </xf>
    <xf numFmtId="0" fontId="1" fillId="0" borderId="1" xfId="0" applyFont="1" applyBorder="1" applyAlignment="1">
      <alignment horizontal="center"/>
    </xf>
    <xf numFmtId="0" fontId="1" fillId="3" borderId="1" xfId="0" applyFont="1" applyFill="1" applyBorder="1" applyAlignment="1">
      <alignment horizontal="center" vertical="center"/>
    </xf>
    <xf numFmtId="0" fontId="7" fillId="17" borderId="9" xfId="0" applyFont="1" applyFill="1" applyBorder="1" applyAlignment="1">
      <alignment horizontal="center" vertical="center"/>
    </xf>
    <xf numFmtId="2" fontId="17" fillId="0" borderId="0" xfId="0" applyNumberFormat="1" applyFont="1" applyAlignment="1">
      <alignment horizontal="center" vertical="center"/>
    </xf>
    <xf numFmtId="0" fontId="8" fillId="16" borderId="0" xfId="0" applyFont="1" applyFill="1" applyBorder="1" applyAlignment="1">
      <alignment horizontal="center" vertical="center"/>
    </xf>
  </cellXfs>
  <cellStyles count="1">
    <cellStyle name="Обычный" xfId="0" builtinId="0"/>
  </cellStyles>
  <dxfs count="134">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ill>
        <patternFill patternType="solid">
          <fgColor rgb="FFCC4125"/>
          <bgColor rgb="FFCC4125"/>
        </patternFill>
      </fill>
    </dxf>
    <dxf>
      <fill>
        <patternFill patternType="solid">
          <fgColor theme="9"/>
          <bgColor theme="9"/>
        </patternFill>
      </fill>
    </dxf>
    <dxf>
      <fill>
        <patternFill patternType="solid">
          <fgColor rgb="FFFFFF00"/>
          <bgColor rgb="FFFFFF00"/>
        </patternFill>
      </fill>
    </dxf>
    <dxf>
      <font>
        <b/>
        <strike val="0"/>
        <outline val="0"/>
        <shadow val="0"/>
        <u val="none"/>
        <vertAlign val="baseline"/>
        <sz val="16"/>
        <name val="Arial Narrow"/>
        <family val="2"/>
        <charset val="204"/>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rgb="FF4C535E"/>
        <name val="Arial Narrow"/>
        <family val="2"/>
        <charset val="204"/>
        <scheme val="none"/>
      </font>
      <fill>
        <patternFill patternType="solid">
          <fgColor rgb="FFF6F8F9"/>
          <bgColor theme="5" tint="0.3999755851924192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4C535E"/>
        <name val="Arial Narrow"/>
        <family val="2"/>
        <charset val="204"/>
        <scheme val="none"/>
      </font>
      <fill>
        <patternFill patternType="solid">
          <fgColor rgb="FFF6F8F9"/>
          <bgColor theme="5" tint="0.39997558519241921"/>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2A3243"/>
        <name val="Arial Narrow"/>
        <family val="2"/>
        <charset val="204"/>
        <scheme val="none"/>
      </font>
      <fill>
        <patternFill patternType="solid">
          <fgColor rgb="FFFFFFFF"/>
          <bgColor theme="5" tint="0.39997558519241921"/>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vertical/>
        <horizontal/>
      </border>
    </dxf>
    <dxf>
      <font>
        <strike val="0"/>
        <outline val="0"/>
        <shadow val="0"/>
        <u val="none"/>
        <vertAlign val="baseline"/>
        <name val="Arial Narrow"/>
        <family val="2"/>
        <charset val="204"/>
        <scheme val="none"/>
      </font>
    </dxf>
    <dxf>
      <font>
        <strike val="0"/>
        <outline val="0"/>
        <shadow val="0"/>
        <u val="none"/>
        <vertAlign val="baseline"/>
        <name val="Arial Narrow"/>
        <family val="2"/>
        <charset val="204"/>
        <scheme val="none"/>
      </font>
    </dxf>
    <dxf>
      <font>
        <strike val="0"/>
        <outline val="0"/>
        <shadow val="0"/>
        <u val="none"/>
        <vertAlign val="baseline"/>
        <name val="Arial Narrow"/>
        <family val="2"/>
        <charset val="204"/>
        <scheme val="none"/>
      </font>
    </dxf>
    <dxf>
      <font>
        <strike val="0"/>
        <outline val="0"/>
        <shadow val="0"/>
        <u val="none"/>
        <vertAlign val="baseline"/>
        <color theme="1"/>
        <name val="Arial Narrow"/>
        <family val="2"/>
        <charset val="204"/>
        <scheme val="none"/>
      </font>
    </dxf>
    <dxf>
      <font>
        <strike val="0"/>
        <outline val="0"/>
        <shadow val="0"/>
        <u val="none"/>
        <vertAlign val="baseline"/>
        <name val="Arial Narrow"/>
        <family val="2"/>
        <charset val="204"/>
        <scheme val="none"/>
      </font>
    </dxf>
    <dxf>
      <font>
        <strike val="0"/>
        <outline val="0"/>
        <shadow val="0"/>
        <u val="none"/>
        <vertAlign val="baseline"/>
        <name val="Arial Narrow"/>
        <family val="2"/>
        <charset val="204"/>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Narrow"/>
        <family val="2"/>
        <charset val="204"/>
        <scheme val="none"/>
      </font>
    </dxf>
    <dxf>
      <font>
        <strike val="0"/>
        <outline val="0"/>
        <shadow val="0"/>
        <u val="none"/>
        <vertAlign val="baseline"/>
        <name val="Arial Narrow"/>
        <family val="2"/>
        <charset val="204"/>
        <scheme val="none"/>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Narrow"/>
        <family val="2"/>
        <charset val="204"/>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Narrow"/>
        <family val="2"/>
        <charset val="204"/>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Narrow"/>
        <family val="2"/>
        <charset val="204"/>
        <scheme val="none"/>
      </font>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Narrow"/>
        <family val="2"/>
        <charset val="20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Narrow"/>
        <family val="2"/>
        <charset val="20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Narrow"/>
        <family val="2"/>
        <charset val="20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Narrow"/>
        <family val="2"/>
        <charset val="20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Narrow"/>
        <family val="2"/>
        <charset val="20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Narrow"/>
        <family val="2"/>
        <charset val="204"/>
        <scheme val="none"/>
      </font>
    </dxf>
    <dxf>
      <font>
        <strike val="0"/>
        <outline val="0"/>
        <shadow val="0"/>
        <u val="none"/>
        <vertAlign val="baseline"/>
        <name val="Arial Narrow"/>
        <family val="2"/>
        <charset val="204"/>
        <scheme val="none"/>
      </font>
    </dxf>
    <dxf>
      <font>
        <b/>
        <strike val="0"/>
        <outline val="0"/>
        <shadow val="0"/>
        <u val="none"/>
        <vertAlign val="baseline"/>
        <name val="Arial Narrow"/>
        <family val="2"/>
        <charset val="204"/>
        <scheme val="none"/>
      </font>
      <fill>
        <patternFill patternType="solid">
          <fgColor indexed="64"/>
          <bgColor theme="2" tint="-0.14999847407452621"/>
        </patternFill>
      </fill>
      <alignment horizontal="center" vertical="center" textRotation="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Основной список-style" pivot="0" count="4" xr9:uid="{00000000-0011-0000-FFFF-FFFF00000000}">
      <tableStyleElement type="wholeTable" size="0" dxfId="133"/>
      <tableStyleElement type="headerRow" dxfId="132"/>
      <tableStyleElement type="firstRowStripe" dxfId="131"/>
      <tableStyleElement type="secondRowStripe" dxfId="130"/>
    </tableStyle>
    <tableStyle name="Сортировка по ROI-style" pivot="0" count="4" xr9:uid="{00000000-0011-0000-FFFF-FFFF01000000}">
      <tableStyleElement type="wholeTable" size="0" dxfId="129"/>
      <tableStyleElement type="headerRow" dxfId="128"/>
      <tableStyleElement type="firstRowStripe" dxfId="127"/>
      <tableStyleElement type="secondRowStripe" dxfId="126"/>
    </tableStyle>
    <tableStyle name="ТОиР-style" pivot="0" count="4" xr9:uid="{00000000-0011-0000-FFFF-FFFF02000000}">
      <tableStyleElement type="wholeTable" size="0" dxfId="125"/>
      <tableStyleElement type="headerRow" dxfId="124"/>
      <tableStyleElement type="firstRowStripe" dxfId="123"/>
      <tableStyleElement type="secondRowStripe" dxfId="122"/>
    </tableStyle>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Андрей Тимин" id="{EFAB0227-63A0-4997-9803-7EF83405C004}" userId="8973ce163548558e"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CDCBFC-8E94-45CB-BB95-68C9B1F89474}" name="Список_проектов_для_оценки3" displayName="Список_проектов_для_оценки3" ref="A3:Q112" headerRowDxfId="121" dataDxfId="120" totalsRowDxfId="119">
  <autoFilter ref="A3:Q112" xr:uid="{00000000-000C-0000-FFFF-FFFF00000000}"/>
  <sortState xmlns:xlrd2="http://schemas.microsoft.com/office/spreadsheetml/2017/richdata2" ref="A4:P111">
    <sortCondition descending="1" ref="O3:O111"/>
  </sortState>
  <tableColumns count="17">
    <tableColumn id="1" xr3:uid="{28359387-3C6A-4C2A-A2C9-1F0494C73114}" name="Блок / подразделение" dataDxfId="118"/>
    <tableColumn id="2" xr3:uid="{86988103-C178-450E-993D-9A46E93180E6}" name="Название проекта" dataDxfId="117"/>
    <tableColumn id="3" xr3:uid="{D6DEC221-7620-4017-A843-8448C7F1EF9F}" name="Краткое описание проблемы_x000a_(своими словами)" dataDxfId="116"/>
    <tableColumn id="4" xr3:uid="{4E9BC21C-77AC-4EF3-989E-5E0D3C5C7AF4}" name="Ожидаемая польза (сокращение времени / экономия денег и т.д.)" dataDxfId="115"/>
    <tableColumn id="5" xr3:uid="{9232860D-F0C1-47E8-9327-3A7FDF8846B9}" name="Контактное лицо для первичной проработки вопроса" dataDxfId="114"/>
    <tableColumn id="6" xr3:uid="{FFC71401-A880-41C5-A3F5-C8CBE18D80E7}" name="Оценка рисков/сложности" dataDxfId="113">
      <calculatedColumnFormula>IF(H4="🔴","Высокий",IF(H4="🟡","Средний",IF(H4="🟢","Низкий","")))</calculatedColumnFormula>
    </tableColumn>
    <tableColumn id="12" xr3:uid="{7FA7390E-8C10-431B-9EDE-716B959B663B}" name="Оценка сложности" dataDxfId="112"/>
    <tableColumn id="7" xr3:uid="{ED0A19FD-9679-4CA3-B4A7-51F267C2AABD}" name="Оценка рисков / сложности" dataDxfId="111"/>
    <tableColumn id="18" xr3:uid="{5A38F408-A907-EB48-8C75-FF9496774577}" name="Оценка сложности Nedra" dataDxfId="102"/>
    <tableColumn id="8" xr3:uid="{AB48CA99-893A-4CB4-987E-8AB52B941989}" name="Оценка MVP, ~" dataDxfId="110"/>
    <tableColumn id="19" xr3:uid="{C82A553C-BBBA-2B44-996F-256C27131C17}" name="Оценка MVP Nedra" dataDxfId="101"/>
    <tableColumn id="20" xr3:uid="{10A5F6F2-1EFF-9742-8DA9-D6523FA40794}" name="Оценка стоимости Nedra" dataDxfId="100"/>
    <tableColumn id="13" xr3:uid="{C791410E-26CC-47A6-9BCF-3FEA4CF98A43}" name="Оценка стоимости" dataDxfId="109"/>
    <tableColumn id="9" xr3:uid="{A6E4B994-1961-4BCC-91A9-92490BF6DF09}" name="Комментарий" dataDxfId="108"/>
    <tableColumn id="14" xr3:uid="{0ABBA595-C749-4C48-BBE6-486A86D2E226}" name="Интегрированная оценка" dataDxfId="99" totalsRowDxfId="107">
      <calculatedColumnFormula>Список_проектов_для_оценки3[[#This Row],[Оценка стоимости Nedra]]/(1+Список_проектов_для_оценки3[[#This Row],[Оценка сложности Nedra]])</calculatedColumnFormula>
    </tableColumn>
    <tableColumn id="10" xr3:uid="{F926D4A8-A4D3-4F81-BE38-B47871EF114D}" name="ИИ / не ИИ" dataDxfId="106" totalsRowDxfId="105"/>
    <tableColumn id="11" xr3:uid="{8CC0B76D-0E1E-4C83-A70E-F15784338470}" name="Примечание" dataDxfId="104" totalsRowDxfId="103"/>
  </tableColumns>
  <tableStyleInfo name="Основной список-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2" dT="2026-04-07T10:47:36.38" personId="{EFAB0227-63A0-4997-9803-7EF83405C004}" id="{ED08CFF9-DA23-4302-BCAE-C6F4D19F8AAB}">
    <text>Очень интересный проект! Но в том виде, в котором он представлен (через использование VB) он не относится к ИИ. Альтернатива - использование ML с надстройкой, где сервис будет являться сервисом для всех служб компании с понятным интерфейсом и простой конфигурацией</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43F6C-E45D-4B61-8E8C-A084067D0804}">
  <sheetPr>
    <tabColor rgb="FF00B050"/>
    <pageSetUpPr fitToPage="1"/>
  </sheetPr>
  <dimension ref="A1:AC980"/>
  <sheetViews>
    <sheetView tabSelected="1" topLeftCell="D1" zoomScaleNormal="100" workbookViewId="0">
      <pane ySplit="3" topLeftCell="A4" activePane="bottomLeft" state="frozen"/>
      <selection pane="bottomLeft" activeCell="N2" sqref="N1:N1048576"/>
    </sheetView>
  </sheetViews>
  <sheetFormatPr baseColWidth="10" defaultColWidth="12.5" defaultRowHeight="15" customHeight="1" x14ac:dyDescent="0.15"/>
  <cols>
    <col min="1" max="1" width="20.6640625" style="1" customWidth="1"/>
    <col min="2" max="2" width="29.5" style="1" customWidth="1"/>
    <col min="3" max="3" width="37.5" style="1" customWidth="1"/>
    <col min="4" max="4" width="34.5" style="1" customWidth="1"/>
    <col min="5" max="5" width="24.6640625" style="1" customWidth="1"/>
    <col min="6" max="6" width="23" style="23" customWidth="1"/>
    <col min="7" max="7" width="18.5" style="23" customWidth="1"/>
    <col min="8" max="8" width="19.33203125" style="1" hidden="1" customWidth="1"/>
    <col min="9" max="9" width="15.33203125" style="96" customWidth="1"/>
    <col min="10" max="10" width="26.83203125" style="23" customWidth="1"/>
    <col min="11" max="12" width="27" style="23" customWidth="1"/>
    <col min="13" max="13" width="15.33203125" style="1" bestFit="1" customWidth="1"/>
    <col min="14" max="14" width="25" style="1" customWidth="1"/>
    <col min="15" max="16" width="26.83203125" style="1" customWidth="1"/>
    <col min="17" max="17" width="34.83203125" style="1" customWidth="1"/>
    <col min="18" max="29" width="7.5" style="1" customWidth="1"/>
    <col min="30" max="16384" width="12.5" style="1"/>
  </cols>
  <sheetData>
    <row r="1" spans="1:17" ht="40.5" customHeight="1" x14ac:dyDescent="0.15">
      <c r="A1" s="84" t="s">
        <v>428</v>
      </c>
      <c r="B1" s="84"/>
      <c r="C1" s="84"/>
      <c r="D1" s="84"/>
      <c r="E1" s="84"/>
      <c r="F1" s="84"/>
      <c r="G1" s="84"/>
      <c r="H1" s="84"/>
      <c r="I1" s="84"/>
      <c r="J1" s="84"/>
      <c r="K1" s="84"/>
      <c r="L1" s="84"/>
      <c r="M1" s="84"/>
      <c r="N1" s="84"/>
      <c r="O1" s="84"/>
      <c r="P1" s="84"/>
    </row>
    <row r="2" spans="1:17" ht="16.5" customHeight="1" x14ac:dyDescent="0.15"/>
    <row r="3" spans="1:17" ht="51.75" customHeight="1" x14ac:dyDescent="0.15">
      <c r="A3" s="3" t="s">
        <v>0</v>
      </c>
      <c r="B3" s="3" t="s">
        <v>1</v>
      </c>
      <c r="C3" s="3" t="s">
        <v>2</v>
      </c>
      <c r="D3" s="3" t="s">
        <v>3</v>
      </c>
      <c r="E3" s="3" t="s">
        <v>4</v>
      </c>
      <c r="F3" s="3" t="s">
        <v>5</v>
      </c>
      <c r="G3" s="3" t="s">
        <v>334</v>
      </c>
      <c r="H3" s="3" t="s">
        <v>6</v>
      </c>
      <c r="I3" s="97" t="s">
        <v>431</v>
      </c>
      <c r="J3" s="4" t="s">
        <v>7</v>
      </c>
      <c r="K3" s="102" t="s">
        <v>462</v>
      </c>
      <c r="L3" s="102" t="s">
        <v>432</v>
      </c>
      <c r="M3" s="85" t="s">
        <v>333</v>
      </c>
      <c r="N3" s="90" t="s">
        <v>8</v>
      </c>
      <c r="O3" s="3" t="s">
        <v>335</v>
      </c>
      <c r="P3" s="3" t="s">
        <v>404</v>
      </c>
      <c r="Q3" s="82" t="s">
        <v>429</v>
      </c>
    </row>
    <row r="4" spans="1:17" ht="90" x14ac:dyDescent="0.15">
      <c r="A4" s="7" t="s">
        <v>27</v>
      </c>
      <c r="B4" s="6" t="s">
        <v>331</v>
      </c>
      <c r="C4" s="6" t="s">
        <v>32</v>
      </c>
      <c r="D4" s="6" t="s">
        <v>29</v>
      </c>
      <c r="E4" s="70" t="s">
        <v>426</v>
      </c>
      <c r="F4" s="29" t="str">
        <f t="shared" ref="F4:F66" si="0">IF(H4="🔴","Высокий",IF(H4="🟡","Средний",IF(H4="🟢","Низкий","")))</f>
        <v>Низкий</v>
      </c>
      <c r="G4" s="31">
        <v>4</v>
      </c>
      <c r="H4" s="17" t="s">
        <v>30</v>
      </c>
      <c r="I4" s="98">
        <v>3</v>
      </c>
      <c r="J4" s="46" t="s">
        <v>33</v>
      </c>
      <c r="K4" s="103" t="s">
        <v>433</v>
      </c>
      <c r="L4" s="86">
        <v>10</v>
      </c>
      <c r="M4" s="86">
        <v>10</v>
      </c>
      <c r="N4" s="91"/>
      <c r="O4" s="44">
        <f>Список_проектов_для_оценки3[[#This Row],[Оценка стоимости Nedra]]/(1+Список_проектов_для_оценки3[[#This Row],[Оценка сложности Nedra]])</f>
        <v>2.5</v>
      </c>
      <c r="P4" s="64" t="s">
        <v>405</v>
      </c>
    </row>
    <row r="5" spans="1:17" ht="90" x14ac:dyDescent="0.15">
      <c r="A5" s="7" t="s">
        <v>27</v>
      </c>
      <c r="B5" s="6" t="s">
        <v>332</v>
      </c>
      <c r="C5" s="6" t="s">
        <v>34</v>
      </c>
      <c r="D5" s="6" t="s">
        <v>35</v>
      </c>
      <c r="E5" s="70" t="s">
        <v>426</v>
      </c>
      <c r="F5" s="28" t="str">
        <f t="shared" si="0"/>
        <v>Низкий</v>
      </c>
      <c r="G5" s="30">
        <v>4</v>
      </c>
      <c r="H5" s="16" t="s">
        <v>30</v>
      </c>
      <c r="I5" s="98">
        <v>4</v>
      </c>
      <c r="J5" s="47" t="s">
        <v>33</v>
      </c>
      <c r="K5" s="104" t="s">
        <v>434</v>
      </c>
      <c r="L5" s="86">
        <v>10</v>
      </c>
      <c r="M5" s="86">
        <v>10</v>
      </c>
      <c r="N5" s="91"/>
      <c r="O5" s="45">
        <f>Список_проектов_для_оценки3[[#This Row],[Оценка стоимости Nedra]]/(1+Список_проектов_для_оценки3[[#This Row],[Оценка сложности Nedra]])</f>
        <v>2</v>
      </c>
      <c r="P5" s="64" t="s">
        <v>405</v>
      </c>
    </row>
    <row r="6" spans="1:17" ht="45" x14ac:dyDescent="0.15">
      <c r="A6" s="7" t="s">
        <v>27</v>
      </c>
      <c r="B6" s="6" t="s">
        <v>53</v>
      </c>
      <c r="C6" s="6" t="s">
        <v>54</v>
      </c>
      <c r="D6" s="6" t="s">
        <v>55</v>
      </c>
      <c r="E6" s="70" t="s">
        <v>426</v>
      </c>
      <c r="F6" s="26" t="str">
        <f t="shared" si="0"/>
        <v>Низкий</v>
      </c>
      <c r="G6" s="30">
        <v>4</v>
      </c>
      <c r="H6" s="16" t="s">
        <v>30</v>
      </c>
      <c r="I6" s="98">
        <v>4</v>
      </c>
      <c r="J6" s="48" t="s">
        <v>33</v>
      </c>
      <c r="K6" s="105" t="s">
        <v>435</v>
      </c>
      <c r="L6" s="86">
        <v>10</v>
      </c>
      <c r="M6" s="86">
        <v>10</v>
      </c>
      <c r="N6" s="91"/>
      <c r="O6" s="45">
        <f>Список_проектов_для_оценки3[[#This Row],[Оценка стоимости Nedra]]/(1+Список_проектов_для_оценки3[[#This Row],[Оценка сложности Nedra]])</f>
        <v>2</v>
      </c>
      <c r="P6" s="64" t="s">
        <v>405</v>
      </c>
    </row>
    <row r="7" spans="1:17" ht="30" x14ac:dyDescent="0.15">
      <c r="A7" s="8" t="s">
        <v>120</v>
      </c>
      <c r="B7" s="6" t="s">
        <v>121</v>
      </c>
      <c r="C7" s="6" t="s">
        <v>122</v>
      </c>
      <c r="D7" s="6" t="s">
        <v>123</v>
      </c>
      <c r="E7" s="6" t="s">
        <v>124</v>
      </c>
      <c r="F7" s="26" t="str">
        <f t="shared" si="0"/>
        <v>Низкий</v>
      </c>
      <c r="G7" s="30">
        <v>4</v>
      </c>
      <c r="H7" s="17" t="s">
        <v>30</v>
      </c>
      <c r="I7" s="98">
        <v>5</v>
      </c>
      <c r="J7" s="46" t="s">
        <v>33</v>
      </c>
      <c r="K7" s="103" t="s">
        <v>436</v>
      </c>
      <c r="L7" s="86">
        <v>9</v>
      </c>
      <c r="M7" s="86">
        <v>10</v>
      </c>
      <c r="N7" s="91"/>
      <c r="O7" s="44">
        <f>Список_проектов_для_оценки3[[#This Row],[Оценка стоимости Nedra]]/(1+Список_проектов_для_оценки3[[#This Row],[Оценка сложности Nedra]])</f>
        <v>1.5</v>
      </c>
      <c r="P7" s="64" t="s">
        <v>405</v>
      </c>
    </row>
    <row r="8" spans="1:17" ht="60" x14ac:dyDescent="0.15">
      <c r="A8" s="8" t="s">
        <v>120</v>
      </c>
      <c r="B8" s="6" t="s">
        <v>134</v>
      </c>
      <c r="C8" s="6" t="s">
        <v>135</v>
      </c>
      <c r="D8" s="6" t="s">
        <v>136</v>
      </c>
      <c r="E8" s="6" t="s">
        <v>124</v>
      </c>
      <c r="F8" s="26" t="str">
        <f t="shared" si="0"/>
        <v>Низкий</v>
      </c>
      <c r="G8" s="30">
        <v>4</v>
      </c>
      <c r="H8" s="17" t="s">
        <v>30</v>
      </c>
      <c r="I8" s="98">
        <v>4</v>
      </c>
      <c r="J8" s="46" t="s">
        <v>33</v>
      </c>
      <c r="K8" s="103" t="s">
        <v>435</v>
      </c>
      <c r="L8" s="86">
        <v>10</v>
      </c>
      <c r="M8" s="86">
        <v>10</v>
      </c>
      <c r="N8" s="91"/>
      <c r="O8" s="44">
        <f>Список_проектов_для_оценки3[[#This Row],[Оценка стоимости Nedra]]/(1+Список_проектов_для_оценки3[[#This Row],[Оценка сложности Nedra]])</f>
        <v>2</v>
      </c>
      <c r="P8" s="64" t="s">
        <v>405</v>
      </c>
    </row>
    <row r="9" spans="1:17" ht="75" x14ac:dyDescent="0.15">
      <c r="A9" s="8" t="s">
        <v>120</v>
      </c>
      <c r="B9" s="6" t="s">
        <v>146</v>
      </c>
      <c r="C9" s="6" t="s">
        <v>147</v>
      </c>
      <c r="D9" s="6" t="s">
        <v>148</v>
      </c>
      <c r="E9" s="6" t="s">
        <v>124</v>
      </c>
      <c r="F9" s="26" t="str">
        <f t="shared" si="0"/>
        <v>Низкий</v>
      </c>
      <c r="G9" s="30">
        <v>4</v>
      </c>
      <c r="H9" s="17" t="s">
        <v>30</v>
      </c>
      <c r="I9" s="98">
        <v>5</v>
      </c>
      <c r="J9" s="46" t="s">
        <v>33</v>
      </c>
      <c r="K9" s="103" t="s">
        <v>437</v>
      </c>
      <c r="L9" s="86">
        <v>10</v>
      </c>
      <c r="M9" s="86">
        <v>10</v>
      </c>
      <c r="N9" s="91"/>
      <c r="O9" s="44">
        <f>Список_проектов_для_оценки3[[#This Row],[Оценка стоимости Nedra]]/(1+Список_проектов_для_оценки3[[#This Row],[Оценка сложности Nedra]])</f>
        <v>1.6666666666666667</v>
      </c>
      <c r="P9" s="64" t="s">
        <v>405</v>
      </c>
    </row>
    <row r="10" spans="1:17" ht="105" x14ac:dyDescent="0.15">
      <c r="A10" s="8" t="s">
        <v>149</v>
      </c>
      <c r="B10" s="6" t="s">
        <v>174</v>
      </c>
      <c r="C10" s="6" t="s">
        <v>175</v>
      </c>
      <c r="D10" s="6" t="s">
        <v>176</v>
      </c>
      <c r="E10" s="6" t="s">
        <v>177</v>
      </c>
      <c r="F10" s="26" t="str">
        <f t="shared" si="0"/>
        <v>Низкий</v>
      </c>
      <c r="G10" s="30">
        <v>4</v>
      </c>
      <c r="H10" s="16" t="s">
        <v>30</v>
      </c>
      <c r="I10" s="98">
        <v>2</v>
      </c>
      <c r="J10" s="47" t="s">
        <v>33</v>
      </c>
      <c r="K10" s="104" t="s">
        <v>438</v>
      </c>
      <c r="L10" s="86">
        <v>10</v>
      </c>
      <c r="M10" s="86">
        <v>10</v>
      </c>
      <c r="N10" s="92" t="s">
        <v>327</v>
      </c>
      <c r="O10" s="71">
        <f>Список_проектов_для_оценки3[[#This Row],[Оценка стоимости Nedra]]/(1+Список_проектов_для_оценки3[[#This Row],[Оценка сложности Nedra]])</f>
        <v>3.3333333333333335</v>
      </c>
      <c r="P10" s="65" t="s">
        <v>406</v>
      </c>
    </row>
    <row r="11" spans="1:17" ht="60" x14ac:dyDescent="0.15">
      <c r="A11" s="8" t="s">
        <v>149</v>
      </c>
      <c r="B11" s="6" t="s">
        <v>212</v>
      </c>
      <c r="C11" s="6" t="s">
        <v>213</v>
      </c>
      <c r="D11" s="6" t="s">
        <v>214</v>
      </c>
      <c r="E11" s="6" t="s">
        <v>215</v>
      </c>
      <c r="F11" s="27" t="str">
        <f t="shared" si="0"/>
        <v>Низкий</v>
      </c>
      <c r="G11" s="30">
        <v>4</v>
      </c>
      <c r="H11" s="17" t="s">
        <v>30</v>
      </c>
      <c r="I11" s="98">
        <v>3</v>
      </c>
      <c r="J11" s="49" t="s">
        <v>33</v>
      </c>
      <c r="K11" s="106" t="s">
        <v>439</v>
      </c>
      <c r="L11" s="86">
        <v>10</v>
      </c>
      <c r="M11" s="86">
        <v>10</v>
      </c>
      <c r="N11" s="91"/>
      <c r="O11" s="44">
        <f>Список_проектов_для_оценки3[[#This Row],[Оценка стоимости Nedra]]/(1+Список_проектов_для_оценки3[[#This Row],[Оценка сложности Nedra]])</f>
        <v>2.5</v>
      </c>
      <c r="P11" s="64" t="s">
        <v>405</v>
      </c>
    </row>
    <row r="12" spans="1:17" ht="84" x14ac:dyDescent="0.2">
      <c r="A12" s="22" t="s">
        <v>326</v>
      </c>
      <c r="B12" s="72" t="s">
        <v>369</v>
      </c>
      <c r="C12" s="72" t="s">
        <v>388</v>
      </c>
      <c r="D12" s="72" t="s">
        <v>350</v>
      </c>
      <c r="E12" s="72" t="s">
        <v>346</v>
      </c>
      <c r="F12" s="26" t="str">
        <f t="shared" si="0"/>
        <v>Низкий</v>
      </c>
      <c r="G12" s="30">
        <v>4</v>
      </c>
      <c r="H12" s="18" t="s">
        <v>30</v>
      </c>
      <c r="I12" s="98">
        <v>2</v>
      </c>
      <c r="J12" s="47" t="s">
        <v>33</v>
      </c>
      <c r="K12" s="104" t="s">
        <v>440</v>
      </c>
      <c r="L12" s="86">
        <v>10</v>
      </c>
      <c r="M12" s="86">
        <v>10</v>
      </c>
      <c r="N12" s="93" t="s">
        <v>427</v>
      </c>
      <c r="O12" s="71">
        <f>Список_проектов_для_оценки3[[#This Row],[Оценка стоимости Nedra]]/(1+Список_проектов_для_оценки3[[#This Row],[Оценка сложности Nedra]])</f>
        <v>3.3333333333333335</v>
      </c>
      <c r="P12" s="65" t="s">
        <v>406</v>
      </c>
      <c r="Q12" s="83" t="s">
        <v>430</v>
      </c>
    </row>
    <row r="13" spans="1:17" ht="75" x14ac:dyDescent="0.15">
      <c r="A13" s="22" t="s">
        <v>326</v>
      </c>
      <c r="B13" s="6" t="s">
        <v>370</v>
      </c>
      <c r="C13" s="6" t="s">
        <v>389</v>
      </c>
      <c r="D13" s="6" t="s">
        <v>351</v>
      </c>
      <c r="E13" s="6" t="s">
        <v>346</v>
      </c>
      <c r="F13" s="26" t="str">
        <f t="shared" si="0"/>
        <v>Низкий</v>
      </c>
      <c r="G13" s="30">
        <v>4</v>
      </c>
      <c r="H13" s="18" t="s">
        <v>30</v>
      </c>
      <c r="I13" s="98">
        <v>5</v>
      </c>
      <c r="J13" s="47" t="s">
        <v>33</v>
      </c>
      <c r="K13" s="104" t="s">
        <v>436</v>
      </c>
      <c r="L13" s="86">
        <v>9</v>
      </c>
      <c r="M13" s="86">
        <v>10</v>
      </c>
      <c r="N13" s="91" t="s">
        <v>413</v>
      </c>
      <c r="O13" s="45">
        <f>Список_проектов_для_оценки3[[#This Row],[Оценка стоимости Nedra]]/(1+Список_проектов_для_оценки3[[#This Row],[Оценка сложности Nedra]])</f>
        <v>1.5</v>
      </c>
      <c r="P13" s="64" t="s">
        <v>405</v>
      </c>
    </row>
    <row r="14" spans="1:17" ht="75" x14ac:dyDescent="0.15">
      <c r="A14" s="22" t="s">
        <v>326</v>
      </c>
      <c r="B14" s="6" t="s">
        <v>371</v>
      </c>
      <c r="C14" s="6" t="s">
        <v>390</v>
      </c>
      <c r="D14" s="6" t="s">
        <v>352</v>
      </c>
      <c r="E14" s="6" t="s">
        <v>346</v>
      </c>
      <c r="F14" s="26" t="str">
        <f t="shared" si="0"/>
        <v>Низкий</v>
      </c>
      <c r="G14" s="30">
        <v>4</v>
      </c>
      <c r="H14" s="18" t="s">
        <v>30</v>
      </c>
      <c r="I14" s="98">
        <v>4</v>
      </c>
      <c r="J14" s="47" t="s">
        <v>33</v>
      </c>
      <c r="K14" s="104" t="s">
        <v>435</v>
      </c>
      <c r="L14" s="86">
        <v>10</v>
      </c>
      <c r="M14" s="86">
        <v>10</v>
      </c>
      <c r="N14" s="91" t="s">
        <v>414</v>
      </c>
      <c r="O14" s="45">
        <f>Список_проектов_для_оценки3[[#This Row],[Оценка стоимости Nedra]]/(1+Список_проектов_для_оценки3[[#This Row],[Оценка сложности Nedra]])</f>
        <v>2</v>
      </c>
      <c r="P14" s="64" t="s">
        <v>405</v>
      </c>
    </row>
    <row r="15" spans="1:17" ht="60" x14ac:dyDescent="0.15">
      <c r="A15" s="22" t="s">
        <v>326</v>
      </c>
      <c r="B15" s="6" t="s">
        <v>373</v>
      </c>
      <c r="C15" s="6" t="s">
        <v>392</v>
      </c>
      <c r="D15" s="6" t="s">
        <v>354</v>
      </c>
      <c r="E15" s="6" t="s">
        <v>346</v>
      </c>
      <c r="F15" s="26" t="str">
        <f t="shared" si="0"/>
        <v>Низкий</v>
      </c>
      <c r="G15" s="30">
        <v>4</v>
      </c>
      <c r="H15" s="18" t="s">
        <v>30</v>
      </c>
      <c r="I15" s="98">
        <v>3</v>
      </c>
      <c r="J15" s="47" t="s">
        <v>33</v>
      </c>
      <c r="K15" s="104" t="s">
        <v>439</v>
      </c>
      <c r="L15" s="86">
        <v>10</v>
      </c>
      <c r="M15" s="86">
        <v>10</v>
      </c>
      <c r="N15" s="91" t="s">
        <v>416</v>
      </c>
      <c r="O15" s="45">
        <f>Список_проектов_для_оценки3[[#This Row],[Оценка стоимости Nedra]]/(1+Список_проектов_для_оценки3[[#This Row],[Оценка сложности Nedra]])</f>
        <v>2.5</v>
      </c>
      <c r="P15" s="64" t="s">
        <v>405</v>
      </c>
    </row>
    <row r="16" spans="1:17" ht="75" x14ac:dyDescent="0.15">
      <c r="A16" s="22" t="s">
        <v>326</v>
      </c>
      <c r="B16" s="6" t="s">
        <v>375</v>
      </c>
      <c r="C16" s="6" t="s">
        <v>394</v>
      </c>
      <c r="D16" s="6" t="s">
        <v>356</v>
      </c>
      <c r="E16" s="6" t="s">
        <v>346</v>
      </c>
      <c r="F16" s="26" t="str">
        <f t="shared" si="0"/>
        <v>Низкий</v>
      </c>
      <c r="G16" s="30">
        <v>4</v>
      </c>
      <c r="H16" s="18" t="s">
        <v>30</v>
      </c>
      <c r="I16" s="98">
        <v>6</v>
      </c>
      <c r="J16" s="47" t="s">
        <v>33</v>
      </c>
      <c r="K16" s="104" t="s">
        <v>441</v>
      </c>
      <c r="L16" s="86">
        <v>9</v>
      </c>
      <c r="M16" s="86">
        <v>10</v>
      </c>
      <c r="N16" s="91" t="s">
        <v>418</v>
      </c>
      <c r="O16" s="45">
        <f>Список_проектов_для_оценки3[[#This Row],[Оценка стоимости Nedra]]/(1+Список_проектов_для_оценки3[[#This Row],[Оценка сложности Nedra]])</f>
        <v>1.2857142857142858</v>
      </c>
      <c r="P16" s="64" t="s">
        <v>405</v>
      </c>
    </row>
    <row r="17" spans="1:16" ht="60" x14ac:dyDescent="0.15">
      <c r="A17" s="22" t="s">
        <v>326</v>
      </c>
      <c r="B17" s="6" t="s">
        <v>381</v>
      </c>
      <c r="C17" s="6" t="s">
        <v>400</v>
      </c>
      <c r="D17" s="6" t="s">
        <v>362</v>
      </c>
      <c r="E17" s="6" t="s">
        <v>346</v>
      </c>
      <c r="F17" s="26" t="str">
        <f t="shared" si="0"/>
        <v>Низкий</v>
      </c>
      <c r="G17" s="30">
        <v>4</v>
      </c>
      <c r="H17" s="18" t="s">
        <v>30</v>
      </c>
      <c r="I17" s="98">
        <v>5</v>
      </c>
      <c r="J17" s="47" t="s">
        <v>33</v>
      </c>
      <c r="K17" s="104" t="s">
        <v>436</v>
      </c>
      <c r="L17" s="86">
        <v>9</v>
      </c>
      <c r="M17" s="86">
        <v>10</v>
      </c>
      <c r="N17" s="91" t="s">
        <v>422</v>
      </c>
      <c r="O17" s="45">
        <f>Список_проектов_для_оценки3[[#This Row],[Оценка стоимости Nedra]]/(1+Список_проектов_для_оценки3[[#This Row],[Оценка сложности Nedra]])</f>
        <v>1.5</v>
      </c>
      <c r="P17" s="64" t="s">
        <v>405</v>
      </c>
    </row>
    <row r="18" spans="1:16" ht="225" x14ac:dyDescent="0.15">
      <c r="A18" s="7" t="s">
        <v>27</v>
      </c>
      <c r="B18" s="6" t="s">
        <v>330</v>
      </c>
      <c r="C18" s="6" t="s">
        <v>28</v>
      </c>
      <c r="D18" s="6" t="s">
        <v>29</v>
      </c>
      <c r="E18" s="70" t="s">
        <v>426</v>
      </c>
      <c r="F18" s="28" t="str">
        <f t="shared" si="0"/>
        <v>Низкий</v>
      </c>
      <c r="G18" s="30">
        <v>4</v>
      </c>
      <c r="H18" s="16" t="s">
        <v>30</v>
      </c>
      <c r="I18" s="98">
        <v>5</v>
      </c>
      <c r="J18" s="47" t="s">
        <v>31</v>
      </c>
      <c r="K18" s="104" t="s">
        <v>437</v>
      </c>
      <c r="L18" s="86">
        <v>9</v>
      </c>
      <c r="M18" s="86">
        <v>9</v>
      </c>
      <c r="N18" s="91"/>
      <c r="O18" s="36">
        <f>Список_проектов_для_оценки3[[#This Row],[Оценка стоимости Nedra]]/(1+Список_проектов_для_оценки3[[#This Row],[Оценка сложности Nedra]])</f>
        <v>1.5</v>
      </c>
      <c r="P18" s="64" t="s">
        <v>405</v>
      </c>
    </row>
    <row r="19" spans="1:16" ht="120" x14ac:dyDescent="0.15">
      <c r="A19" s="7" t="s">
        <v>27</v>
      </c>
      <c r="B19" s="6" t="s">
        <v>56</v>
      </c>
      <c r="C19" s="6" t="s">
        <v>57</v>
      </c>
      <c r="D19" s="6" t="s">
        <v>58</v>
      </c>
      <c r="E19" s="70" t="s">
        <v>426</v>
      </c>
      <c r="F19" s="27" t="str">
        <f t="shared" si="0"/>
        <v>Низкий</v>
      </c>
      <c r="G19" s="31">
        <v>4</v>
      </c>
      <c r="H19" s="19" t="s">
        <v>30</v>
      </c>
      <c r="I19" s="98">
        <v>3</v>
      </c>
      <c r="J19" s="46" t="s">
        <v>31</v>
      </c>
      <c r="K19" s="103" t="s">
        <v>433</v>
      </c>
      <c r="L19" s="86">
        <v>10</v>
      </c>
      <c r="M19" s="86">
        <v>9</v>
      </c>
      <c r="N19" s="92" t="s">
        <v>343</v>
      </c>
      <c r="O19" s="71">
        <f>Список_проектов_для_оценки3[[#This Row],[Оценка стоимости Nedra]]/(1+Список_проектов_для_оценки3[[#This Row],[Оценка сложности Nedra]])</f>
        <v>2.5</v>
      </c>
      <c r="P19" s="65" t="s">
        <v>406</v>
      </c>
    </row>
    <row r="20" spans="1:16" ht="90" x14ac:dyDescent="0.15">
      <c r="A20" s="7" t="s">
        <v>27</v>
      </c>
      <c r="B20" s="6" t="s">
        <v>59</v>
      </c>
      <c r="C20" s="6" t="s">
        <v>60</v>
      </c>
      <c r="D20" s="6" t="s">
        <v>61</v>
      </c>
      <c r="E20" s="70" t="s">
        <v>426</v>
      </c>
      <c r="F20" s="26" t="str">
        <f t="shared" si="0"/>
        <v>Низкий</v>
      </c>
      <c r="G20" s="30">
        <v>4</v>
      </c>
      <c r="H20" s="16" t="s">
        <v>30</v>
      </c>
      <c r="I20" s="98">
        <v>4</v>
      </c>
      <c r="J20" s="48" t="s">
        <v>31</v>
      </c>
      <c r="K20" s="105" t="s">
        <v>435</v>
      </c>
      <c r="L20" s="86">
        <v>9</v>
      </c>
      <c r="M20" s="86">
        <v>9</v>
      </c>
      <c r="N20" s="92" t="s">
        <v>341</v>
      </c>
      <c r="O20" s="71">
        <f>Список_проектов_для_оценки3[[#This Row],[Оценка стоимости Nedra]]/(1+Список_проектов_для_оценки3[[#This Row],[Оценка сложности Nedra]])</f>
        <v>1.8</v>
      </c>
      <c r="P20" s="65" t="s">
        <v>406</v>
      </c>
    </row>
    <row r="21" spans="1:16" ht="150" x14ac:dyDescent="0.15">
      <c r="A21" s="7" t="s">
        <v>62</v>
      </c>
      <c r="B21" s="6" t="s">
        <v>63</v>
      </c>
      <c r="C21" s="6" t="s">
        <v>64</v>
      </c>
      <c r="D21" s="6" t="s">
        <v>65</v>
      </c>
      <c r="E21" s="70" t="s">
        <v>426</v>
      </c>
      <c r="F21" s="27" t="str">
        <f t="shared" si="0"/>
        <v>Низкий</v>
      </c>
      <c r="G21" s="31">
        <v>4</v>
      </c>
      <c r="H21" s="17" t="s">
        <v>30</v>
      </c>
      <c r="I21" s="98">
        <v>4</v>
      </c>
      <c r="J21" s="46" t="s">
        <v>31</v>
      </c>
      <c r="K21" s="103" t="s">
        <v>435</v>
      </c>
      <c r="L21" s="86">
        <v>9</v>
      </c>
      <c r="M21" s="86">
        <v>9</v>
      </c>
      <c r="N21" s="92" t="s">
        <v>340</v>
      </c>
      <c r="O21" s="71">
        <f>Список_проектов_для_оценки3[[#This Row],[Оценка стоимости Nedra]]/(1+Список_проектов_для_оценки3[[#This Row],[Оценка сложности Nedra]])</f>
        <v>1.8</v>
      </c>
      <c r="P21" s="65" t="s">
        <v>406</v>
      </c>
    </row>
    <row r="22" spans="1:16" ht="30" x14ac:dyDescent="0.15">
      <c r="A22" s="8" t="s">
        <v>75</v>
      </c>
      <c r="B22" s="6" t="s">
        <v>86</v>
      </c>
      <c r="C22" s="6" t="s">
        <v>87</v>
      </c>
      <c r="D22" s="6" t="s">
        <v>88</v>
      </c>
      <c r="E22" s="6" t="s">
        <v>79</v>
      </c>
      <c r="F22" s="26" t="str">
        <f t="shared" si="0"/>
        <v>Низкий</v>
      </c>
      <c r="G22" s="30">
        <v>4</v>
      </c>
      <c r="H22" s="17" t="s">
        <v>30</v>
      </c>
      <c r="I22" s="98">
        <v>5</v>
      </c>
      <c r="J22" s="46" t="s">
        <v>31</v>
      </c>
      <c r="K22" s="103" t="s">
        <v>437</v>
      </c>
      <c r="L22" s="86">
        <v>10</v>
      </c>
      <c r="M22" s="86">
        <v>9</v>
      </c>
      <c r="N22" s="91"/>
      <c r="O22" s="37">
        <f>Список_проектов_для_оценки3[[#This Row],[Оценка стоимости Nedra]]/(1+Список_проектов_для_оценки3[[#This Row],[Оценка сложности Nedra]])</f>
        <v>1.6666666666666667</v>
      </c>
      <c r="P22" s="64" t="s">
        <v>405</v>
      </c>
    </row>
    <row r="23" spans="1:16" ht="60" x14ac:dyDescent="0.15">
      <c r="A23" s="8" t="s">
        <v>120</v>
      </c>
      <c r="B23" s="6" t="s">
        <v>128</v>
      </c>
      <c r="C23" s="6" t="s">
        <v>129</v>
      </c>
      <c r="D23" s="6" t="s">
        <v>130</v>
      </c>
      <c r="E23" s="6" t="s">
        <v>124</v>
      </c>
      <c r="F23" s="26" t="str">
        <f t="shared" si="0"/>
        <v>Низкий</v>
      </c>
      <c r="G23" s="30">
        <v>4</v>
      </c>
      <c r="H23" s="17" t="s">
        <v>30</v>
      </c>
      <c r="I23" s="98">
        <v>5</v>
      </c>
      <c r="J23" s="46" t="s">
        <v>31</v>
      </c>
      <c r="K23" s="103" t="s">
        <v>437</v>
      </c>
      <c r="L23" s="86">
        <v>10</v>
      </c>
      <c r="M23" s="86">
        <v>9</v>
      </c>
      <c r="N23" s="91"/>
      <c r="O23" s="37">
        <f>Список_проектов_для_оценки3[[#This Row],[Оценка стоимости Nedra]]/(1+Список_проектов_для_оценки3[[#This Row],[Оценка сложности Nedra]])</f>
        <v>1.6666666666666667</v>
      </c>
      <c r="P23" s="64" t="s">
        <v>405</v>
      </c>
    </row>
    <row r="24" spans="1:16" ht="75" x14ac:dyDescent="0.15">
      <c r="A24" s="8" t="s">
        <v>149</v>
      </c>
      <c r="B24" s="6" t="s">
        <v>154</v>
      </c>
      <c r="C24" s="6" t="s">
        <v>155</v>
      </c>
      <c r="D24" s="6" t="s">
        <v>156</v>
      </c>
      <c r="E24" s="6" t="s">
        <v>153</v>
      </c>
      <c r="F24" s="26" t="str">
        <f t="shared" si="0"/>
        <v>Низкий</v>
      </c>
      <c r="G24" s="30">
        <v>4</v>
      </c>
      <c r="H24" s="16" t="s">
        <v>30</v>
      </c>
      <c r="I24" s="98">
        <v>3</v>
      </c>
      <c r="J24" s="47" t="s">
        <v>31</v>
      </c>
      <c r="K24" s="104" t="s">
        <v>439</v>
      </c>
      <c r="L24" s="86">
        <v>10</v>
      </c>
      <c r="M24" s="86">
        <v>9</v>
      </c>
      <c r="N24" s="92" t="s">
        <v>328</v>
      </c>
      <c r="O24" s="71">
        <f>Список_проектов_для_оценки3[[#This Row],[Оценка стоимости Nedra]]/(1+Список_проектов_для_оценки3[[#This Row],[Оценка сложности Nedra]])</f>
        <v>2.5</v>
      </c>
      <c r="P24" s="65" t="s">
        <v>406</v>
      </c>
    </row>
    <row r="25" spans="1:16" ht="75" x14ac:dyDescent="0.15">
      <c r="A25" s="8" t="s">
        <v>149</v>
      </c>
      <c r="B25" s="6" t="s">
        <v>157</v>
      </c>
      <c r="C25" s="6" t="s">
        <v>158</v>
      </c>
      <c r="D25" s="6" t="s">
        <v>159</v>
      </c>
      <c r="E25" s="6" t="s">
        <v>160</v>
      </c>
      <c r="F25" s="27" t="str">
        <f t="shared" si="0"/>
        <v>Низкий</v>
      </c>
      <c r="G25" s="30">
        <v>4</v>
      </c>
      <c r="H25" s="17" t="s">
        <v>30</v>
      </c>
      <c r="I25" s="98">
        <v>6</v>
      </c>
      <c r="J25" s="46" t="s">
        <v>31</v>
      </c>
      <c r="K25" s="103" t="s">
        <v>442</v>
      </c>
      <c r="L25" s="86">
        <v>9</v>
      </c>
      <c r="M25" s="86">
        <v>9</v>
      </c>
      <c r="N25" s="91"/>
      <c r="O25" s="37">
        <f>Список_проектов_для_оценки3[[#This Row],[Оценка стоимости Nedra]]/(1+Список_проектов_для_оценки3[[#This Row],[Оценка сложности Nedra]])</f>
        <v>1.2857142857142858</v>
      </c>
      <c r="P25" s="64" t="s">
        <v>405</v>
      </c>
    </row>
    <row r="26" spans="1:16" ht="165" x14ac:dyDescent="0.15">
      <c r="A26" s="8" t="s">
        <v>149</v>
      </c>
      <c r="B26" s="6" t="s">
        <v>178</v>
      </c>
      <c r="C26" s="6" t="s">
        <v>179</v>
      </c>
      <c r="D26" s="6" t="s">
        <v>176</v>
      </c>
      <c r="E26" s="6" t="s">
        <v>177</v>
      </c>
      <c r="F26" s="27" t="str">
        <f t="shared" si="0"/>
        <v>Низкий</v>
      </c>
      <c r="G26" s="30">
        <v>4</v>
      </c>
      <c r="H26" s="17" t="s">
        <v>30</v>
      </c>
      <c r="I26" s="98">
        <v>3</v>
      </c>
      <c r="J26" s="46" t="s">
        <v>31</v>
      </c>
      <c r="K26" s="103" t="s">
        <v>439</v>
      </c>
      <c r="L26" s="86">
        <v>10</v>
      </c>
      <c r="M26" s="86">
        <v>9</v>
      </c>
      <c r="N26" s="92" t="s">
        <v>327</v>
      </c>
      <c r="O26" s="71">
        <f>Список_проектов_для_оценки3[[#This Row],[Оценка стоимости Nedra]]/(1+Список_проектов_для_оценки3[[#This Row],[Оценка сложности Nedra]])</f>
        <v>2.5</v>
      </c>
      <c r="P26" s="65" t="s">
        <v>406</v>
      </c>
    </row>
    <row r="27" spans="1:16" ht="90" x14ac:dyDescent="0.15">
      <c r="A27" s="8" t="s">
        <v>149</v>
      </c>
      <c r="B27" s="6" t="s">
        <v>180</v>
      </c>
      <c r="C27" s="6" t="s">
        <v>181</v>
      </c>
      <c r="D27" s="6" t="s">
        <v>182</v>
      </c>
      <c r="E27" s="6" t="s">
        <v>183</v>
      </c>
      <c r="F27" s="26" t="str">
        <f t="shared" si="0"/>
        <v>Низкий</v>
      </c>
      <c r="G27" s="30">
        <v>4</v>
      </c>
      <c r="H27" s="16" t="s">
        <v>30</v>
      </c>
      <c r="I27" s="98">
        <v>5</v>
      </c>
      <c r="J27" s="47" t="s">
        <v>31</v>
      </c>
      <c r="K27" s="104" t="s">
        <v>437</v>
      </c>
      <c r="L27" s="86">
        <v>9</v>
      </c>
      <c r="M27" s="86">
        <v>9</v>
      </c>
      <c r="N27" s="91"/>
      <c r="O27" s="36">
        <f>Список_проектов_для_оценки3[[#This Row],[Оценка стоимости Nedra]]/(1+Список_проектов_для_оценки3[[#This Row],[Оценка сложности Nedra]])</f>
        <v>1.5</v>
      </c>
      <c r="P27" s="64" t="s">
        <v>405</v>
      </c>
    </row>
    <row r="28" spans="1:16" ht="105" x14ac:dyDescent="0.15">
      <c r="A28" s="8" t="s">
        <v>149</v>
      </c>
      <c r="B28" s="6" t="s">
        <v>184</v>
      </c>
      <c r="C28" s="6" t="s">
        <v>185</v>
      </c>
      <c r="D28" s="6" t="s">
        <v>186</v>
      </c>
      <c r="E28" s="6" t="s">
        <v>183</v>
      </c>
      <c r="F28" s="27" t="str">
        <f t="shared" si="0"/>
        <v>Низкий</v>
      </c>
      <c r="G28" s="30">
        <v>4</v>
      </c>
      <c r="H28" s="17" t="s">
        <v>30</v>
      </c>
      <c r="I28" s="98">
        <v>4</v>
      </c>
      <c r="J28" s="46" t="s">
        <v>31</v>
      </c>
      <c r="K28" s="103" t="s">
        <v>435</v>
      </c>
      <c r="L28" s="86">
        <v>10</v>
      </c>
      <c r="M28" s="86">
        <v>9</v>
      </c>
      <c r="N28" s="91"/>
      <c r="O28" s="37">
        <f>Список_проектов_для_оценки3[[#This Row],[Оценка стоимости Nedra]]/(1+Список_проектов_для_оценки3[[#This Row],[Оценка сложности Nedra]])</f>
        <v>2</v>
      </c>
      <c r="P28" s="64" t="s">
        <v>405</v>
      </c>
    </row>
    <row r="29" spans="1:16" ht="120" x14ac:dyDescent="0.15">
      <c r="A29" s="8" t="s">
        <v>149</v>
      </c>
      <c r="B29" s="6" t="s">
        <v>194</v>
      </c>
      <c r="C29" s="6" t="s">
        <v>195</v>
      </c>
      <c r="D29" s="6" t="s">
        <v>196</v>
      </c>
      <c r="E29" s="6" t="s">
        <v>190</v>
      </c>
      <c r="F29" s="26" t="str">
        <f t="shared" si="0"/>
        <v>Низкий</v>
      </c>
      <c r="G29" s="30">
        <v>4</v>
      </c>
      <c r="H29" s="16" t="s">
        <v>30</v>
      </c>
      <c r="I29" s="98">
        <v>5</v>
      </c>
      <c r="J29" s="47" t="s">
        <v>31</v>
      </c>
      <c r="K29" s="104" t="s">
        <v>437</v>
      </c>
      <c r="L29" s="86">
        <v>9</v>
      </c>
      <c r="M29" s="86">
        <v>9</v>
      </c>
      <c r="N29" s="91"/>
      <c r="O29" s="36">
        <f>Список_проектов_для_оценки3[[#This Row],[Оценка стоимости Nedra]]/(1+Список_проектов_для_оценки3[[#This Row],[Оценка сложности Nedra]])</f>
        <v>1.5</v>
      </c>
      <c r="P29" s="64" t="s">
        <v>405</v>
      </c>
    </row>
    <row r="30" spans="1:16" ht="105" x14ac:dyDescent="0.15">
      <c r="A30" s="8" t="s">
        <v>149</v>
      </c>
      <c r="B30" s="6" t="s">
        <v>197</v>
      </c>
      <c r="C30" s="6" t="s">
        <v>198</v>
      </c>
      <c r="D30" s="6" t="s">
        <v>199</v>
      </c>
      <c r="E30" s="6" t="s">
        <v>200</v>
      </c>
      <c r="F30" s="27" t="str">
        <f t="shared" si="0"/>
        <v>Низкий</v>
      </c>
      <c r="G30" s="30">
        <v>4</v>
      </c>
      <c r="H30" s="17" t="s">
        <v>30</v>
      </c>
      <c r="I30" s="98">
        <v>6</v>
      </c>
      <c r="J30" s="46" t="s">
        <v>31</v>
      </c>
      <c r="K30" s="103" t="s">
        <v>441</v>
      </c>
      <c r="L30" s="87">
        <v>7</v>
      </c>
      <c r="M30" s="86">
        <v>9</v>
      </c>
      <c r="N30" s="91"/>
      <c r="O30" s="37">
        <f>Список_проектов_для_оценки3[[#This Row],[Оценка стоимости Nedra]]/(1+Список_проектов_для_оценки3[[#This Row],[Оценка сложности Nedra]])</f>
        <v>1</v>
      </c>
      <c r="P30" s="64" t="s">
        <v>405</v>
      </c>
    </row>
    <row r="31" spans="1:16" ht="90" x14ac:dyDescent="0.15">
      <c r="A31" s="8" t="s">
        <v>149</v>
      </c>
      <c r="B31" s="6" t="s">
        <v>222</v>
      </c>
      <c r="C31" s="6" t="s">
        <v>223</v>
      </c>
      <c r="D31" s="6" t="s">
        <v>224</v>
      </c>
      <c r="E31" s="6" t="s">
        <v>225</v>
      </c>
      <c r="F31" s="26" t="str">
        <f t="shared" si="0"/>
        <v>Низкий</v>
      </c>
      <c r="G31" s="30">
        <v>4</v>
      </c>
      <c r="H31" s="16" t="s">
        <v>30</v>
      </c>
      <c r="I31" s="98">
        <v>6</v>
      </c>
      <c r="J31" s="47" t="s">
        <v>31</v>
      </c>
      <c r="K31" s="104" t="s">
        <v>441</v>
      </c>
      <c r="L31" s="87">
        <v>7</v>
      </c>
      <c r="M31" s="86">
        <v>9</v>
      </c>
      <c r="N31" s="91"/>
      <c r="O31" s="36">
        <f>Список_проектов_для_оценки3[[#This Row],[Оценка стоимости Nedra]]/(1+Список_проектов_для_оценки3[[#This Row],[Оценка сложности Nedra]])</f>
        <v>1</v>
      </c>
      <c r="P31" s="64" t="s">
        <v>405</v>
      </c>
    </row>
    <row r="32" spans="1:16" ht="60" x14ac:dyDescent="0.15">
      <c r="A32" s="9" t="s">
        <v>241</v>
      </c>
      <c r="B32" s="6" t="s">
        <v>246</v>
      </c>
      <c r="C32" s="6" t="s">
        <v>247</v>
      </c>
      <c r="D32" s="6" t="s">
        <v>248</v>
      </c>
      <c r="E32" s="6" t="s">
        <v>245</v>
      </c>
      <c r="F32" s="26" t="str">
        <f t="shared" si="0"/>
        <v>Низкий</v>
      </c>
      <c r="G32" s="30">
        <v>4</v>
      </c>
      <c r="H32" s="10" t="s">
        <v>30</v>
      </c>
      <c r="I32" s="98">
        <v>5</v>
      </c>
      <c r="J32" s="47" t="s">
        <v>31</v>
      </c>
      <c r="K32" s="104" t="s">
        <v>436</v>
      </c>
      <c r="L32" s="87">
        <v>7</v>
      </c>
      <c r="M32" s="86">
        <v>9</v>
      </c>
      <c r="N32" s="91"/>
      <c r="O32" s="36">
        <f>Список_проектов_для_оценки3[[#This Row],[Оценка стоимости Nedra]]/(1+Список_проектов_для_оценки3[[#This Row],[Оценка сложности Nedra]])</f>
        <v>1.1666666666666667</v>
      </c>
      <c r="P32" s="64" t="s">
        <v>405</v>
      </c>
    </row>
    <row r="33" spans="1:16" ht="150" x14ac:dyDescent="0.15">
      <c r="A33" s="11" t="s">
        <v>256</v>
      </c>
      <c r="B33" s="6" t="s">
        <v>257</v>
      </c>
      <c r="C33" s="6" t="s">
        <v>258</v>
      </c>
      <c r="D33" s="6" t="s">
        <v>259</v>
      </c>
      <c r="E33" s="6" t="s">
        <v>260</v>
      </c>
      <c r="F33" s="27" t="str">
        <f t="shared" si="0"/>
        <v>Низкий</v>
      </c>
      <c r="G33" s="30">
        <v>4</v>
      </c>
      <c r="H33" s="16" t="s">
        <v>30</v>
      </c>
      <c r="I33" s="98">
        <v>5</v>
      </c>
      <c r="J33" s="47" t="s">
        <v>31</v>
      </c>
      <c r="K33" s="104" t="s">
        <v>436</v>
      </c>
      <c r="L33" s="87">
        <v>7</v>
      </c>
      <c r="M33" s="86">
        <v>9</v>
      </c>
      <c r="N33" s="91"/>
      <c r="O33" s="36">
        <f>Список_проектов_для_оценки3[[#This Row],[Оценка стоимости Nedra]]/(1+Список_проектов_для_оценки3[[#This Row],[Оценка сложности Nedra]])</f>
        <v>1.1666666666666667</v>
      </c>
      <c r="P33" s="64" t="s">
        <v>405</v>
      </c>
    </row>
    <row r="34" spans="1:16" ht="120" x14ac:dyDescent="0.15">
      <c r="A34" s="11" t="s">
        <v>256</v>
      </c>
      <c r="B34" s="6" t="s">
        <v>284</v>
      </c>
      <c r="C34" s="6" t="s">
        <v>285</v>
      </c>
      <c r="D34" s="6" t="s">
        <v>286</v>
      </c>
      <c r="E34" s="6" t="s">
        <v>279</v>
      </c>
      <c r="F34" s="26" t="str">
        <f t="shared" si="0"/>
        <v>Низкий</v>
      </c>
      <c r="G34" s="30">
        <v>4</v>
      </c>
      <c r="H34" s="17" t="s">
        <v>30</v>
      </c>
      <c r="I34" s="98">
        <v>5</v>
      </c>
      <c r="J34" s="50" t="s">
        <v>31</v>
      </c>
      <c r="K34" s="107" t="s">
        <v>436</v>
      </c>
      <c r="L34" s="87">
        <v>7</v>
      </c>
      <c r="M34" s="86">
        <v>9</v>
      </c>
      <c r="N34" s="91"/>
      <c r="O34" s="38">
        <f>Список_проектов_для_оценки3[[#This Row],[Оценка стоимости Nedra]]/(1+Список_проектов_для_оценки3[[#This Row],[Оценка сложности Nedra]])</f>
        <v>1.1666666666666667</v>
      </c>
      <c r="P34" s="64" t="s">
        <v>405</v>
      </c>
    </row>
    <row r="35" spans="1:16" ht="90" x14ac:dyDescent="0.15">
      <c r="A35" s="12" t="s">
        <v>287</v>
      </c>
      <c r="B35" s="6" t="s">
        <v>314</v>
      </c>
      <c r="C35" s="6" t="s">
        <v>315</v>
      </c>
      <c r="D35" s="6" t="s">
        <v>316</v>
      </c>
      <c r="E35" s="6" t="s">
        <v>317</v>
      </c>
      <c r="F35" s="27" t="str">
        <f t="shared" si="0"/>
        <v>Низкий</v>
      </c>
      <c r="G35" s="30">
        <v>4</v>
      </c>
      <c r="H35" s="17" t="s">
        <v>30</v>
      </c>
      <c r="I35" s="98">
        <v>5</v>
      </c>
      <c r="J35" s="46" t="s">
        <v>31</v>
      </c>
      <c r="K35" s="103" t="s">
        <v>436</v>
      </c>
      <c r="L35" s="87">
        <v>7</v>
      </c>
      <c r="M35" s="86">
        <v>9</v>
      </c>
      <c r="N35" s="91"/>
      <c r="O35" s="37">
        <f>Список_проектов_для_оценки3[[#This Row],[Оценка стоимости Nedra]]/(1+Список_проектов_для_оценки3[[#This Row],[Оценка сложности Nedra]])</f>
        <v>1.1666666666666667</v>
      </c>
      <c r="P35" s="64" t="s">
        <v>405</v>
      </c>
    </row>
    <row r="36" spans="1:16" ht="105" x14ac:dyDescent="0.15">
      <c r="A36" s="7" t="s">
        <v>27</v>
      </c>
      <c r="B36" s="6" t="s">
        <v>36</v>
      </c>
      <c r="C36" s="6" t="s">
        <v>37</v>
      </c>
      <c r="D36" s="6" t="s">
        <v>38</v>
      </c>
      <c r="E36" s="70" t="s">
        <v>426</v>
      </c>
      <c r="F36" s="29" t="str">
        <f t="shared" si="0"/>
        <v>Низкий</v>
      </c>
      <c r="G36" s="31">
        <v>4</v>
      </c>
      <c r="H36" s="18" t="s">
        <v>30</v>
      </c>
      <c r="I36" s="99">
        <v>6</v>
      </c>
      <c r="J36" s="51" t="s">
        <v>39</v>
      </c>
      <c r="K36" s="108" t="s">
        <v>441</v>
      </c>
      <c r="L36" s="87">
        <v>7</v>
      </c>
      <c r="M36" s="87">
        <v>7</v>
      </c>
      <c r="N36" s="91"/>
      <c r="O36" s="39">
        <f>Список_проектов_для_оценки3[[#This Row],[Оценка стоимости Nedra]]/(1+Список_проектов_для_оценки3[[#This Row],[Оценка сложности Nedra]])</f>
        <v>1</v>
      </c>
      <c r="P36" s="64" t="s">
        <v>405</v>
      </c>
    </row>
    <row r="37" spans="1:16" ht="75" x14ac:dyDescent="0.15">
      <c r="A37" s="7" t="s">
        <v>27</v>
      </c>
      <c r="B37" s="6" t="s">
        <v>66</v>
      </c>
      <c r="C37" s="6" t="s">
        <v>67</v>
      </c>
      <c r="D37" s="6" t="s">
        <v>68</v>
      </c>
      <c r="E37" s="70" t="s">
        <v>426</v>
      </c>
      <c r="F37" s="26" t="str">
        <f t="shared" si="0"/>
        <v>Низкий</v>
      </c>
      <c r="G37" s="30">
        <v>4</v>
      </c>
      <c r="H37" s="16" t="s">
        <v>30</v>
      </c>
      <c r="I37" s="99">
        <v>7</v>
      </c>
      <c r="J37" s="52" t="s">
        <v>39</v>
      </c>
      <c r="K37" s="109" t="s">
        <v>443</v>
      </c>
      <c r="L37" s="87">
        <v>7</v>
      </c>
      <c r="M37" s="87">
        <v>7</v>
      </c>
      <c r="N37" s="91"/>
      <c r="O37" s="40">
        <f>Список_проектов_для_оценки3[[#This Row],[Оценка стоимости Nedra]]/(1+Список_проектов_для_оценки3[[#This Row],[Оценка сложности Nedra]])</f>
        <v>0.875</v>
      </c>
      <c r="P37" s="64" t="s">
        <v>405</v>
      </c>
    </row>
    <row r="38" spans="1:16" ht="60" x14ac:dyDescent="0.15">
      <c r="A38" s="7" t="s">
        <v>27</v>
      </c>
      <c r="B38" s="6" t="s">
        <v>69</v>
      </c>
      <c r="C38" s="6" t="s">
        <v>70</v>
      </c>
      <c r="D38" s="6" t="s">
        <v>71</v>
      </c>
      <c r="E38" s="70" t="s">
        <v>426</v>
      </c>
      <c r="F38" s="27" t="str">
        <f t="shared" si="0"/>
        <v>Низкий</v>
      </c>
      <c r="G38" s="31">
        <v>4</v>
      </c>
      <c r="H38" s="18" t="s">
        <v>30</v>
      </c>
      <c r="I38" s="99">
        <v>7</v>
      </c>
      <c r="J38" s="51" t="s">
        <v>39</v>
      </c>
      <c r="K38" s="108" t="s">
        <v>443</v>
      </c>
      <c r="L38" s="87">
        <v>7</v>
      </c>
      <c r="M38" s="87">
        <v>7</v>
      </c>
      <c r="N38" s="91"/>
      <c r="O38" s="39">
        <f>Список_проектов_для_оценки3[[#This Row],[Оценка стоимости Nedra]]/(1+Список_проектов_для_оценки3[[#This Row],[Оценка сложности Nedra]])</f>
        <v>0.875</v>
      </c>
      <c r="P38" s="64" t="s">
        <v>405</v>
      </c>
    </row>
    <row r="39" spans="1:16" ht="90" x14ac:dyDescent="0.15">
      <c r="A39" s="8" t="s">
        <v>75</v>
      </c>
      <c r="B39" s="6" t="s">
        <v>96</v>
      </c>
      <c r="C39" s="6" t="s">
        <v>97</v>
      </c>
      <c r="D39" s="6" t="s">
        <v>98</v>
      </c>
      <c r="E39" s="6" t="s">
        <v>92</v>
      </c>
      <c r="F39" s="27" t="str">
        <f t="shared" si="0"/>
        <v>Низкий</v>
      </c>
      <c r="G39" s="30">
        <v>4</v>
      </c>
      <c r="H39" s="16" t="s">
        <v>30</v>
      </c>
      <c r="I39" s="99">
        <v>6</v>
      </c>
      <c r="J39" s="52" t="s">
        <v>39</v>
      </c>
      <c r="K39" s="109" t="s">
        <v>441</v>
      </c>
      <c r="L39" s="87">
        <v>7</v>
      </c>
      <c r="M39" s="87">
        <v>7</v>
      </c>
      <c r="N39" s="91"/>
      <c r="O39" s="40">
        <f>Список_проектов_для_оценки3[[#This Row],[Оценка стоимости Nedra]]/(1+Список_проектов_для_оценки3[[#This Row],[Оценка сложности Nedra]])</f>
        <v>1</v>
      </c>
      <c r="P39" s="64" t="s">
        <v>405</v>
      </c>
    </row>
    <row r="40" spans="1:16" ht="75" x14ac:dyDescent="0.15">
      <c r="A40" s="8" t="s">
        <v>102</v>
      </c>
      <c r="B40" s="6" t="s">
        <v>110</v>
      </c>
      <c r="C40" s="6" t="s">
        <v>111</v>
      </c>
      <c r="D40" s="6" t="s">
        <v>112</v>
      </c>
      <c r="E40" s="6" t="s">
        <v>106</v>
      </c>
      <c r="F40" s="27" t="str">
        <f t="shared" si="0"/>
        <v>Низкий</v>
      </c>
      <c r="G40" s="30">
        <v>4</v>
      </c>
      <c r="H40" s="17" t="s">
        <v>30</v>
      </c>
      <c r="I40" s="99">
        <v>8</v>
      </c>
      <c r="J40" s="53" t="s">
        <v>39</v>
      </c>
      <c r="K40" s="110" t="s">
        <v>444</v>
      </c>
      <c r="L40" s="87">
        <v>7</v>
      </c>
      <c r="M40" s="87">
        <v>7</v>
      </c>
      <c r="N40" s="91"/>
      <c r="O40" s="41">
        <f>Список_проектов_для_оценки3[[#This Row],[Оценка стоимости Nedra]]/(1+Список_проектов_для_оценки3[[#This Row],[Оценка сложности Nedra]])</f>
        <v>0.77777777777777779</v>
      </c>
      <c r="P40" s="64" t="s">
        <v>405</v>
      </c>
    </row>
    <row r="41" spans="1:16" ht="60" x14ac:dyDescent="0.15">
      <c r="A41" s="8" t="s">
        <v>102</v>
      </c>
      <c r="B41" s="6" t="s">
        <v>113</v>
      </c>
      <c r="C41" s="6" t="s">
        <v>114</v>
      </c>
      <c r="D41" s="6" t="s">
        <v>115</v>
      </c>
      <c r="E41" s="6" t="s">
        <v>106</v>
      </c>
      <c r="F41" s="26" t="str">
        <f t="shared" si="0"/>
        <v>Низкий</v>
      </c>
      <c r="G41" s="30">
        <v>4</v>
      </c>
      <c r="H41" s="13" t="s">
        <v>30</v>
      </c>
      <c r="I41" s="99">
        <v>7</v>
      </c>
      <c r="J41" s="54" t="s">
        <v>39</v>
      </c>
      <c r="K41" s="111" t="s">
        <v>443</v>
      </c>
      <c r="L41" s="108">
        <v>4</v>
      </c>
      <c r="M41" s="87">
        <v>7</v>
      </c>
      <c r="N41" s="91"/>
      <c r="O41" s="42">
        <f>Список_проектов_для_оценки3[[#This Row],[Оценка стоимости Nedra]]/(1+Список_проектов_для_оценки3[[#This Row],[Оценка сложности Nedra]])</f>
        <v>0.5</v>
      </c>
      <c r="P41" s="64" t="s">
        <v>405</v>
      </c>
    </row>
    <row r="42" spans="1:16" ht="60" x14ac:dyDescent="0.15">
      <c r="A42" s="8" t="s">
        <v>120</v>
      </c>
      <c r="B42" s="6" t="s">
        <v>143</v>
      </c>
      <c r="C42" s="6" t="s">
        <v>144</v>
      </c>
      <c r="D42" s="6" t="s">
        <v>145</v>
      </c>
      <c r="E42" s="6" t="s">
        <v>124</v>
      </c>
      <c r="F42" s="27" t="str">
        <f t="shared" si="0"/>
        <v>Низкий</v>
      </c>
      <c r="G42" s="30">
        <v>4</v>
      </c>
      <c r="H42" s="16" t="s">
        <v>30</v>
      </c>
      <c r="I42" s="99">
        <v>8</v>
      </c>
      <c r="J42" s="52" t="s">
        <v>39</v>
      </c>
      <c r="K42" s="109" t="s">
        <v>445</v>
      </c>
      <c r="L42" s="108">
        <v>4</v>
      </c>
      <c r="M42" s="87">
        <v>7</v>
      </c>
      <c r="N42" s="91"/>
      <c r="O42" s="40">
        <f>Список_проектов_для_оценки3[[#This Row],[Оценка стоимости Nedra]]/(1+Список_проектов_для_оценки3[[#This Row],[Оценка сложности Nedra]])</f>
        <v>0.44444444444444442</v>
      </c>
      <c r="P42" s="64" t="s">
        <v>405</v>
      </c>
    </row>
    <row r="43" spans="1:16" ht="75" x14ac:dyDescent="0.15">
      <c r="A43" s="8" t="s">
        <v>149</v>
      </c>
      <c r="B43" s="6" t="s">
        <v>150</v>
      </c>
      <c r="C43" s="6" t="s">
        <v>151</v>
      </c>
      <c r="D43" s="6" t="s">
        <v>152</v>
      </c>
      <c r="E43" s="6" t="s">
        <v>153</v>
      </c>
      <c r="F43" s="27" t="str">
        <f t="shared" si="0"/>
        <v>Низкий</v>
      </c>
      <c r="G43" s="30">
        <v>4</v>
      </c>
      <c r="H43" s="18" t="s">
        <v>30</v>
      </c>
      <c r="I43" s="99">
        <v>6</v>
      </c>
      <c r="J43" s="55" t="s">
        <v>39</v>
      </c>
      <c r="K43" s="112" t="s">
        <v>441</v>
      </c>
      <c r="L43" s="87">
        <v>7</v>
      </c>
      <c r="M43" s="87">
        <v>7</v>
      </c>
      <c r="N43" s="91"/>
      <c r="O43" s="43">
        <f>Список_проектов_для_оценки3[[#This Row],[Оценка стоимости Nedra]]/(1+Список_проектов_для_оценки3[[#This Row],[Оценка сложности Nedra]])</f>
        <v>1</v>
      </c>
      <c r="P43" s="64" t="s">
        <v>405</v>
      </c>
    </row>
    <row r="44" spans="1:16" ht="30" x14ac:dyDescent="0.15">
      <c r="A44" s="8" t="s">
        <v>149</v>
      </c>
      <c r="B44" s="6" t="s">
        <v>161</v>
      </c>
      <c r="C44" s="6" t="s">
        <v>162</v>
      </c>
      <c r="D44" s="6" t="s">
        <v>163</v>
      </c>
      <c r="E44" s="6" t="s">
        <v>160</v>
      </c>
      <c r="F44" s="26" t="str">
        <f t="shared" si="0"/>
        <v>Низкий</v>
      </c>
      <c r="G44" s="30">
        <v>4</v>
      </c>
      <c r="H44" s="13" t="s">
        <v>30</v>
      </c>
      <c r="I44" s="99">
        <v>6</v>
      </c>
      <c r="J44" s="54" t="s">
        <v>39</v>
      </c>
      <c r="K44" s="111" t="s">
        <v>446</v>
      </c>
      <c r="L44" s="87">
        <v>7</v>
      </c>
      <c r="M44" s="87">
        <v>7</v>
      </c>
      <c r="N44" s="91"/>
      <c r="O44" s="73">
        <f>Список_проектов_для_оценки3[[#This Row],[Оценка стоимости Nedra]]/(1+Список_проектов_для_оценки3[[#This Row],[Оценка сложности Nedra]])</f>
        <v>1</v>
      </c>
      <c r="P44" s="64" t="s">
        <v>405</v>
      </c>
    </row>
    <row r="45" spans="1:16" ht="165" x14ac:dyDescent="0.15">
      <c r="A45" s="9" t="s">
        <v>236</v>
      </c>
      <c r="B45" s="6" t="s">
        <v>237</v>
      </c>
      <c r="C45" s="6" t="s">
        <v>238</v>
      </c>
      <c r="D45" s="6" t="s">
        <v>239</v>
      </c>
      <c r="E45" s="6" t="s">
        <v>240</v>
      </c>
      <c r="F45" s="26" t="str">
        <f t="shared" si="0"/>
        <v>Низкий</v>
      </c>
      <c r="G45" s="30">
        <v>4</v>
      </c>
      <c r="H45" s="10" t="s">
        <v>30</v>
      </c>
      <c r="I45" s="99">
        <v>6</v>
      </c>
      <c r="J45" s="51" t="s">
        <v>39</v>
      </c>
      <c r="K45" s="108" t="s">
        <v>441</v>
      </c>
      <c r="L45" s="87">
        <v>7</v>
      </c>
      <c r="M45" s="87">
        <v>7</v>
      </c>
      <c r="N45" s="91"/>
      <c r="O45" s="74">
        <f>Список_проектов_для_оценки3[[#This Row],[Оценка стоимости Nedra]]/(1+Список_проектов_для_оценки3[[#This Row],[Оценка сложности Nedra]])</f>
        <v>1</v>
      </c>
      <c r="P45" s="64" t="s">
        <v>405</v>
      </c>
    </row>
    <row r="46" spans="1:16" ht="75" x14ac:dyDescent="0.15">
      <c r="A46" s="11" t="s">
        <v>249</v>
      </c>
      <c r="B46" s="6" t="s">
        <v>250</v>
      </c>
      <c r="C46" s="6" t="s">
        <v>251</v>
      </c>
      <c r="D46" s="6" t="s">
        <v>252</v>
      </c>
      <c r="E46" s="6" t="s">
        <v>342</v>
      </c>
      <c r="F46" s="27" t="str">
        <f t="shared" si="0"/>
        <v>Низкий</v>
      </c>
      <c r="G46" s="30">
        <v>4</v>
      </c>
      <c r="H46" s="13" t="s">
        <v>30</v>
      </c>
      <c r="I46" s="99">
        <v>7</v>
      </c>
      <c r="J46" s="54" t="s">
        <v>39</v>
      </c>
      <c r="K46" s="111" t="s">
        <v>443</v>
      </c>
      <c r="L46" s="87">
        <v>7</v>
      </c>
      <c r="M46" s="87">
        <v>7</v>
      </c>
      <c r="N46" s="91"/>
      <c r="O46" s="73">
        <f>Список_проектов_для_оценки3[[#This Row],[Оценка стоимости Nedra]]/(1+Список_проектов_для_оценки3[[#This Row],[Оценка сложности Nedra]])</f>
        <v>0.875</v>
      </c>
      <c r="P46" s="64" t="s">
        <v>405</v>
      </c>
    </row>
    <row r="47" spans="1:16" ht="180" x14ac:dyDescent="0.15">
      <c r="A47" s="11" t="s">
        <v>261</v>
      </c>
      <c r="B47" s="6" t="s">
        <v>262</v>
      </c>
      <c r="C47" s="6" t="s">
        <v>263</v>
      </c>
      <c r="D47" s="6" t="s">
        <v>264</v>
      </c>
      <c r="E47" s="6" t="s">
        <v>265</v>
      </c>
      <c r="F47" s="26" t="str">
        <f t="shared" si="0"/>
        <v>Низкий</v>
      </c>
      <c r="G47" s="30">
        <v>4</v>
      </c>
      <c r="H47" s="18" t="s">
        <v>30</v>
      </c>
      <c r="I47" s="99">
        <v>6</v>
      </c>
      <c r="J47" s="51" t="s">
        <v>39</v>
      </c>
      <c r="K47" s="108" t="s">
        <v>446</v>
      </c>
      <c r="L47" s="87">
        <v>7</v>
      </c>
      <c r="M47" s="87">
        <v>7</v>
      </c>
      <c r="N47" s="91"/>
      <c r="O47" s="74">
        <f>Список_проектов_для_оценки3[[#This Row],[Оценка стоимости Nedra]]/(1+Список_проектов_для_оценки3[[#This Row],[Оценка сложности Nedra]])</f>
        <v>1</v>
      </c>
      <c r="P47" s="64" t="s">
        <v>405</v>
      </c>
    </row>
    <row r="48" spans="1:16" ht="120" x14ac:dyDescent="0.15">
      <c r="A48" s="12" t="s">
        <v>287</v>
      </c>
      <c r="B48" s="6" t="s">
        <v>310</v>
      </c>
      <c r="C48" s="6" t="s">
        <v>311</v>
      </c>
      <c r="D48" s="6" t="s">
        <v>312</v>
      </c>
      <c r="E48" s="6" t="s">
        <v>313</v>
      </c>
      <c r="F48" s="26" t="str">
        <f t="shared" si="0"/>
        <v>Низкий</v>
      </c>
      <c r="G48" s="30">
        <v>4</v>
      </c>
      <c r="H48" s="16" t="s">
        <v>30</v>
      </c>
      <c r="I48" s="99">
        <v>6</v>
      </c>
      <c r="J48" s="56" t="s">
        <v>39</v>
      </c>
      <c r="K48" s="113" t="s">
        <v>441</v>
      </c>
      <c r="L48" s="87">
        <v>7</v>
      </c>
      <c r="M48" s="87">
        <v>7</v>
      </c>
      <c r="N48" s="91"/>
      <c r="O48" s="73">
        <f>Список_проектов_для_оценки3[[#This Row],[Оценка стоимости Nedra]]/(1+Список_проектов_для_оценки3[[#This Row],[Оценка сложности Nedra]])</f>
        <v>1</v>
      </c>
      <c r="P48" s="64" t="s">
        <v>405</v>
      </c>
    </row>
    <row r="49" spans="1:16" ht="60" x14ac:dyDescent="0.15">
      <c r="A49" s="22" t="s">
        <v>326</v>
      </c>
      <c r="B49" s="6" t="s">
        <v>374</v>
      </c>
      <c r="C49" s="6" t="s">
        <v>393</v>
      </c>
      <c r="D49" s="6" t="s">
        <v>355</v>
      </c>
      <c r="E49" s="6" t="s">
        <v>346</v>
      </c>
      <c r="F49" s="25" t="str">
        <f t="shared" si="0"/>
        <v>Средний</v>
      </c>
      <c r="G49" s="33">
        <v>7</v>
      </c>
      <c r="H49" s="14" t="s">
        <v>14</v>
      </c>
      <c r="I49" s="98">
        <v>6</v>
      </c>
      <c r="J49" s="47" t="s">
        <v>33</v>
      </c>
      <c r="K49" s="104" t="s">
        <v>436</v>
      </c>
      <c r="L49" s="87">
        <v>7</v>
      </c>
      <c r="M49" s="86">
        <v>10</v>
      </c>
      <c r="N49" s="91" t="s">
        <v>417</v>
      </c>
      <c r="O49" s="75">
        <f>Список_проектов_для_оценки3[[#This Row],[Оценка стоимости Nedra]]/(1+Список_проектов_для_оценки3[[#This Row],[Оценка сложности Nedra]])</f>
        <v>1</v>
      </c>
      <c r="P49" s="64" t="s">
        <v>405</v>
      </c>
    </row>
    <row r="50" spans="1:16" ht="105" x14ac:dyDescent="0.15">
      <c r="A50" s="8" t="s">
        <v>149</v>
      </c>
      <c r="B50" s="6" t="s">
        <v>205</v>
      </c>
      <c r="C50" s="6" t="s">
        <v>206</v>
      </c>
      <c r="D50" s="6" t="s">
        <v>207</v>
      </c>
      <c r="E50" s="6" t="s">
        <v>208</v>
      </c>
      <c r="F50" s="24" t="str">
        <f t="shared" si="0"/>
        <v>Средний</v>
      </c>
      <c r="G50" s="33">
        <v>7</v>
      </c>
      <c r="H50" s="17" t="s">
        <v>14</v>
      </c>
      <c r="I50" s="98">
        <v>7</v>
      </c>
      <c r="J50" s="46" t="s">
        <v>31</v>
      </c>
      <c r="K50" s="103" t="s">
        <v>446</v>
      </c>
      <c r="L50" s="87">
        <v>7</v>
      </c>
      <c r="M50" s="86">
        <v>9</v>
      </c>
      <c r="N50" s="91"/>
      <c r="O50" s="75">
        <f>Список_проектов_для_оценки3[[#This Row],[Оценка стоимости Nedra]]/(1+Список_проектов_для_оценки3[[#This Row],[Оценка сложности Nedra]])</f>
        <v>0.875</v>
      </c>
      <c r="P50" s="64" t="s">
        <v>405</v>
      </c>
    </row>
    <row r="51" spans="1:16" ht="165" x14ac:dyDescent="0.15">
      <c r="A51" s="7" t="s">
        <v>27</v>
      </c>
      <c r="B51" s="6" t="s">
        <v>40</v>
      </c>
      <c r="C51" s="6" t="s">
        <v>41</v>
      </c>
      <c r="D51" s="6" t="s">
        <v>42</v>
      </c>
      <c r="E51" s="70" t="s">
        <v>426</v>
      </c>
      <c r="F51" s="25" t="str">
        <f t="shared" si="0"/>
        <v>Средний</v>
      </c>
      <c r="G51" s="32">
        <v>7</v>
      </c>
      <c r="H51" s="13" t="s">
        <v>14</v>
      </c>
      <c r="I51" s="99">
        <v>7</v>
      </c>
      <c r="J51" s="54" t="s">
        <v>39</v>
      </c>
      <c r="K51" s="111" t="s">
        <v>447</v>
      </c>
      <c r="L51" s="87">
        <v>7</v>
      </c>
      <c r="M51" s="87">
        <v>7</v>
      </c>
      <c r="N51" s="91" t="s">
        <v>43</v>
      </c>
      <c r="O51" s="75">
        <f>Список_проектов_для_оценки3[[#This Row],[Оценка стоимости Nedra]]/(1+Список_проектов_для_оценки3[[#This Row],[Оценка сложности Nedra]])</f>
        <v>0.875</v>
      </c>
      <c r="P51" s="64" t="s">
        <v>405</v>
      </c>
    </row>
    <row r="52" spans="1:16" ht="60" x14ac:dyDescent="0.15">
      <c r="A52" s="8" t="s">
        <v>102</v>
      </c>
      <c r="B52" s="6" t="s">
        <v>107</v>
      </c>
      <c r="C52" s="6" t="s">
        <v>108</v>
      </c>
      <c r="D52" s="6" t="s">
        <v>109</v>
      </c>
      <c r="E52" s="6" t="s">
        <v>106</v>
      </c>
      <c r="F52" s="25" t="str">
        <f t="shared" si="0"/>
        <v>Средний</v>
      </c>
      <c r="G52" s="33">
        <v>7</v>
      </c>
      <c r="H52" s="13" t="s">
        <v>14</v>
      </c>
      <c r="I52" s="99">
        <v>8</v>
      </c>
      <c r="J52" s="56" t="s">
        <v>39</v>
      </c>
      <c r="K52" s="113" t="s">
        <v>445</v>
      </c>
      <c r="L52" s="113">
        <v>4</v>
      </c>
      <c r="M52" s="87">
        <v>7</v>
      </c>
      <c r="N52" s="91" t="s">
        <v>338</v>
      </c>
      <c r="O52" s="75">
        <f>Список_проектов_для_оценки3[[#This Row],[Оценка стоимости Nedra]]/(1+Список_проектов_для_оценки3[[#This Row],[Оценка сложности Nedra]])</f>
        <v>0.44444444444444442</v>
      </c>
      <c r="P52" s="64" t="s">
        <v>405</v>
      </c>
    </row>
    <row r="53" spans="1:16" ht="75" x14ac:dyDescent="0.15">
      <c r="A53" s="8" t="s">
        <v>120</v>
      </c>
      <c r="B53" s="6" t="s">
        <v>125</v>
      </c>
      <c r="C53" s="6" t="s">
        <v>126</v>
      </c>
      <c r="D53" s="6" t="s">
        <v>127</v>
      </c>
      <c r="E53" s="6" t="s">
        <v>124</v>
      </c>
      <c r="F53" s="24" t="str">
        <f t="shared" si="0"/>
        <v>Средний</v>
      </c>
      <c r="G53" s="33">
        <v>7</v>
      </c>
      <c r="H53" s="13" t="s">
        <v>14</v>
      </c>
      <c r="I53" s="99">
        <v>6</v>
      </c>
      <c r="J53" s="54" t="s">
        <v>39</v>
      </c>
      <c r="K53" s="111" t="s">
        <v>441</v>
      </c>
      <c r="L53" s="87">
        <v>7</v>
      </c>
      <c r="M53" s="87">
        <v>7</v>
      </c>
      <c r="N53" s="91"/>
      <c r="O53" s="75">
        <f>Список_проектов_для_оценки3[[#This Row],[Оценка стоимости Nedra]]/(1+Список_проектов_для_оценки3[[#This Row],[Оценка сложности Nedra]])</f>
        <v>1</v>
      </c>
      <c r="P53" s="64" t="s">
        <v>405</v>
      </c>
    </row>
    <row r="54" spans="1:16" ht="75" x14ac:dyDescent="0.15">
      <c r="A54" s="9" t="s">
        <v>241</v>
      </c>
      <c r="B54" s="72" t="s">
        <v>242</v>
      </c>
      <c r="C54" s="72" t="s">
        <v>243</v>
      </c>
      <c r="D54" s="72" t="s">
        <v>244</v>
      </c>
      <c r="E54" s="72" t="s">
        <v>245</v>
      </c>
      <c r="F54" s="24" t="str">
        <f t="shared" si="0"/>
        <v>Средний</v>
      </c>
      <c r="G54" s="33">
        <v>7</v>
      </c>
      <c r="H54" s="10" t="s">
        <v>14</v>
      </c>
      <c r="I54" s="99">
        <v>7</v>
      </c>
      <c r="J54" s="55" t="s">
        <v>39</v>
      </c>
      <c r="K54" s="112" t="s">
        <v>448</v>
      </c>
      <c r="L54" s="87">
        <v>7</v>
      </c>
      <c r="M54" s="87">
        <v>7</v>
      </c>
      <c r="N54" s="92" t="s">
        <v>407</v>
      </c>
      <c r="O54" s="71">
        <f>Список_проектов_для_оценки3[[#This Row],[Оценка стоимости Nedra]]/(1+Список_проектов_для_оценки3[[#This Row],[Оценка сложности Nedra]])</f>
        <v>0.875</v>
      </c>
      <c r="P54" s="65" t="s">
        <v>406</v>
      </c>
    </row>
    <row r="55" spans="1:16" ht="195" x14ac:dyDescent="0.15">
      <c r="A55" s="11" t="s">
        <v>256</v>
      </c>
      <c r="B55" s="6" t="s">
        <v>266</v>
      </c>
      <c r="C55" s="6" t="s">
        <v>267</v>
      </c>
      <c r="D55" s="6" t="s">
        <v>268</v>
      </c>
      <c r="E55" s="6" t="s">
        <v>269</v>
      </c>
      <c r="F55" s="24" t="str">
        <f t="shared" si="0"/>
        <v>Средний</v>
      </c>
      <c r="G55" s="33">
        <v>7</v>
      </c>
      <c r="H55" s="16" t="s">
        <v>14</v>
      </c>
      <c r="I55" s="99">
        <v>6</v>
      </c>
      <c r="J55" s="52" t="s">
        <v>39</v>
      </c>
      <c r="K55" s="109" t="s">
        <v>441</v>
      </c>
      <c r="L55" s="87">
        <v>7</v>
      </c>
      <c r="M55" s="87">
        <v>7</v>
      </c>
      <c r="N55" s="91"/>
      <c r="O55" s="75">
        <f>Список_проектов_для_оценки3[[#This Row],[Оценка стоимости Nedra]]/(1+Список_проектов_для_оценки3[[#This Row],[Оценка сложности Nedra]])</f>
        <v>1</v>
      </c>
      <c r="P55" s="64" t="s">
        <v>405</v>
      </c>
    </row>
    <row r="56" spans="1:16" ht="135" x14ac:dyDescent="0.15">
      <c r="A56" s="11" t="s">
        <v>256</v>
      </c>
      <c r="B56" s="6" t="s">
        <v>270</v>
      </c>
      <c r="C56" s="6" t="s">
        <v>271</v>
      </c>
      <c r="D56" s="6" t="s">
        <v>272</v>
      </c>
      <c r="E56" s="6" t="s">
        <v>269</v>
      </c>
      <c r="F56" s="25" t="str">
        <f t="shared" si="0"/>
        <v>Средний</v>
      </c>
      <c r="G56" s="33">
        <v>7</v>
      </c>
      <c r="H56" s="18" t="s">
        <v>14</v>
      </c>
      <c r="I56" s="99">
        <v>6</v>
      </c>
      <c r="J56" s="51" t="s">
        <v>39</v>
      </c>
      <c r="K56" s="108" t="s">
        <v>441</v>
      </c>
      <c r="L56" s="87">
        <v>7</v>
      </c>
      <c r="M56" s="87">
        <v>7</v>
      </c>
      <c r="N56" s="91"/>
      <c r="O56" s="76">
        <f>Список_проектов_для_оценки3[[#This Row],[Оценка стоимости Nedra]]/(1+Список_проектов_для_оценки3[[#This Row],[Оценка сложности Nedra]])</f>
        <v>1</v>
      </c>
      <c r="P56" s="69" t="s">
        <v>405</v>
      </c>
    </row>
    <row r="57" spans="1:16" ht="120" x14ac:dyDescent="0.15">
      <c r="A57" s="11" t="s">
        <v>256</v>
      </c>
      <c r="B57" s="6" t="s">
        <v>280</v>
      </c>
      <c r="C57" s="6" t="s">
        <v>281</v>
      </c>
      <c r="D57" s="6" t="s">
        <v>282</v>
      </c>
      <c r="E57" s="6" t="s">
        <v>283</v>
      </c>
      <c r="F57" s="24" t="str">
        <f t="shared" si="0"/>
        <v>Средний</v>
      </c>
      <c r="G57" s="33">
        <v>7</v>
      </c>
      <c r="H57" s="13" t="s">
        <v>14</v>
      </c>
      <c r="I57" s="99">
        <v>8</v>
      </c>
      <c r="J57" s="54" t="s">
        <v>39</v>
      </c>
      <c r="K57" s="111" t="s">
        <v>444</v>
      </c>
      <c r="L57" s="111">
        <v>4</v>
      </c>
      <c r="M57" s="87">
        <v>7</v>
      </c>
      <c r="N57" s="91"/>
      <c r="O57" s="75">
        <f>Список_проектов_для_оценки3[[#This Row],[Оценка стоимости Nedra]]/(1+Список_проектов_для_оценки3[[#This Row],[Оценка сложности Nedra]])</f>
        <v>0.44444444444444442</v>
      </c>
      <c r="P57" s="64" t="s">
        <v>405</v>
      </c>
    </row>
    <row r="58" spans="1:16" ht="20" x14ac:dyDescent="0.15">
      <c r="A58" s="20" t="s">
        <v>322</v>
      </c>
      <c r="B58" s="21" t="s">
        <v>323</v>
      </c>
      <c r="C58" s="21" t="s">
        <v>324</v>
      </c>
      <c r="D58" s="21" t="s">
        <v>325</v>
      </c>
      <c r="E58" s="6"/>
      <c r="F58" s="24" t="str">
        <f t="shared" si="0"/>
        <v>Средний</v>
      </c>
      <c r="G58" s="33">
        <v>7</v>
      </c>
      <c r="H58" s="10" t="s">
        <v>14</v>
      </c>
      <c r="I58" s="99">
        <v>6</v>
      </c>
      <c r="J58" s="57" t="s">
        <v>39</v>
      </c>
      <c r="K58" s="114" t="s">
        <v>446</v>
      </c>
      <c r="L58" s="87">
        <v>7</v>
      </c>
      <c r="M58" s="87">
        <v>7</v>
      </c>
      <c r="N58" s="91"/>
      <c r="O58" s="77">
        <f>Список_проектов_для_оценки3[[#This Row],[Оценка стоимости Nedra]]/(1+Список_проектов_для_оценки3[[#This Row],[Оценка сложности Nedra]])</f>
        <v>1</v>
      </c>
      <c r="P58" s="64" t="s">
        <v>405</v>
      </c>
    </row>
    <row r="59" spans="1:16" ht="105" x14ac:dyDescent="0.15">
      <c r="A59" s="22" t="s">
        <v>326</v>
      </c>
      <c r="B59" s="6" t="s">
        <v>366</v>
      </c>
      <c r="C59" s="6" t="s">
        <v>385</v>
      </c>
      <c r="D59" s="6" t="s">
        <v>348</v>
      </c>
      <c r="E59" s="6" t="s">
        <v>346</v>
      </c>
      <c r="F59" s="25" t="str">
        <f t="shared" si="0"/>
        <v>Средний</v>
      </c>
      <c r="G59" s="33">
        <v>7</v>
      </c>
      <c r="H59" s="14" t="s">
        <v>14</v>
      </c>
      <c r="I59" s="99">
        <v>7</v>
      </c>
      <c r="J59" s="51" t="s">
        <v>39</v>
      </c>
      <c r="K59" s="108" t="s">
        <v>443</v>
      </c>
      <c r="L59" s="87">
        <v>4</v>
      </c>
      <c r="M59" s="87">
        <v>7</v>
      </c>
      <c r="N59" s="91" t="s">
        <v>410</v>
      </c>
      <c r="O59" s="75">
        <f>Список_проектов_для_оценки3[[#This Row],[Оценка стоимости Nedra]]/(1+Список_проектов_для_оценки3[[#This Row],[Оценка сложности Nedra]])</f>
        <v>0.5</v>
      </c>
      <c r="P59" s="64" t="s">
        <v>405</v>
      </c>
    </row>
    <row r="60" spans="1:16" ht="60" x14ac:dyDescent="0.15">
      <c r="A60" s="22" t="s">
        <v>326</v>
      </c>
      <c r="B60" s="6" t="s">
        <v>378</v>
      </c>
      <c r="C60" s="6" t="s">
        <v>397</v>
      </c>
      <c r="D60" s="6" t="s">
        <v>359</v>
      </c>
      <c r="E60" s="6" t="s">
        <v>346</v>
      </c>
      <c r="F60" s="25" t="str">
        <f t="shared" si="0"/>
        <v>Средний</v>
      </c>
      <c r="G60" s="33">
        <v>7</v>
      </c>
      <c r="H60" s="14" t="s">
        <v>14</v>
      </c>
      <c r="I60" s="99">
        <v>6</v>
      </c>
      <c r="J60" s="51" t="s">
        <v>39</v>
      </c>
      <c r="K60" s="108" t="s">
        <v>441</v>
      </c>
      <c r="L60" s="87">
        <v>7</v>
      </c>
      <c r="M60" s="87">
        <v>7</v>
      </c>
      <c r="N60" s="91" t="s">
        <v>408</v>
      </c>
      <c r="O60" s="75">
        <f>Список_проектов_для_оценки3[[#This Row],[Оценка стоимости Nedra]]/(1+Список_проектов_для_оценки3[[#This Row],[Оценка сложности Nedra]])</f>
        <v>1</v>
      </c>
      <c r="P60" s="64" t="s">
        <v>405</v>
      </c>
    </row>
    <row r="61" spans="1:16" ht="135" x14ac:dyDescent="0.15">
      <c r="A61" s="22" t="s">
        <v>326</v>
      </c>
      <c r="B61" s="6" t="s">
        <v>383</v>
      </c>
      <c r="C61" s="6" t="s">
        <v>402</v>
      </c>
      <c r="D61" s="6" t="s">
        <v>364</v>
      </c>
      <c r="E61" s="6" t="s">
        <v>346</v>
      </c>
      <c r="F61" s="25" t="str">
        <f t="shared" si="0"/>
        <v>Средний</v>
      </c>
      <c r="G61" s="33">
        <v>7</v>
      </c>
      <c r="H61" s="14" t="s">
        <v>14</v>
      </c>
      <c r="I61" s="99">
        <v>5</v>
      </c>
      <c r="J61" s="51" t="s">
        <v>39</v>
      </c>
      <c r="K61" s="108" t="s">
        <v>436</v>
      </c>
      <c r="L61" s="87">
        <v>7</v>
      </c>
      <c r="M61" s="87">
        <v>7</v>
      </c>
      <c r="N61" s="91" t="s">
        <v>424</v>
      </c>
      <c r="O61" s="75">
        <f>Список_проектов_для_оценки3[[#This Row],[Оценка стоимости Nedra]]/(1+Список_проектов_для_оценки3[[#This Row],[Оценка сложности Nedra]])</f>
        <v>1.1666666666666667</v>
      </c>
      <c r="P61" s="64" t="s">
        <v>405</v>
      </c>
    </row>
    <row r="62" spans="1:16" ht="150" x14ac:dyDescent="0.15">
      <c r="A62" s="22" t="s">
        <v>326</v>
      </c>
      <c r="B62" s="6" t="s">
        <v>379</v>
      </c>
      <c r="C62" s="6" t="s">
        <v>398</v>
      </c>
      <c r="D62" s="6" t="s">
        <v>360</v>
      </c>
      <c r="E62" s="6" t="s">
        <v>346</v>
      </c>
      <c r="F62" s="26" t="str">
        <f t="shared" si="0"/>
        <v>Низкий</v>
      </c>
      <c r="G62" s="30">
        <v>4</v>
      </c>
      <c r="H62" s="18" t="s">
        <v>30</v>
      </c>
      <c r="I62" s="100">
        <v>8</v>
      </c>
      <c r="J62" s="60" t="s">
        <v>20</v>
      </c>
      <c r="K62" s="115" t="s">
        <v>449</v>
      </c>
      <c r="L62" s="88">
        <v>4</v>
      </c>
      <c r="M62" s="88">
        <v>4</v>
      </c>
      <c r="N62" s="91" t="s">
        <v>425</v>
      </c>
      <c r="O62" s="71">
        <f>Список_проектов_для_оценки3[[#This Row],[Оценка стоимости Nedra]]/(1+Список_проектов_для_оценки3[[#This Row],[Оценка сложности Nedra]])</f>
        <v>0.44444444444444442</v>
      </c>
      <c r="P62" s="64" t="s">
        <v>405</v>
      </c>
    </row>
    <row r="63" spans="1:16" ht="60" x14ac:dyDescent="0.15">
      <c r="A63" s="22" t="s">
        <v>326</v>
      </c>
      <c r="B63" s="6" t="s">
        <v>372</v>
      </c>
      <c r="C63" s="6" t="s">
        <v>391</v>
      </c>
      <c r="D63" s="6" t="s">
        <v>353</v>
      </c>
      <c r="E63" s="6" t="s">
        <v>346</v>
      </c>
      <c r="F63" s="26" t="str">
        <f t="shared" si="0"/>
        <v>Высокий</v>
      </c>
      <c r="G63" s="34">
        <v>10</v>
      </c>
      <c r="H63" s="15" t="s">
        <v>19</v>
      </c>
      <c r="I63" s="99">
        <v>8</v>
      </c>
      <c r="J63" s="51" t="s">
        <v>39</v>
      </c>
      <c r="K63" s="108" t="s">
        <v>444</v>
      </c>
      <c r="L63" s="88">
        <v>4</v>
      </c>
      <c r="M63" s="87">
        <v>7</v>
      </c>
      <c r="N63" s="91" t="s">
        <v>415</v>
      </c>
      <c r="O63" s="71">
        <f>Список_проектов_для_оценки3[[#This Row],[Оценка стоимости Nedra]]/(1+Список_проектов_для_оценки3[[#This Row],[Оценка сложности Nedra]])</f>
        <v>0.44444444444444442</v>
      </c>
      <c r="P63" s="64" t="s">
        <v>405</v>
      </c>
    </row>
    <row r="64" spans="1:16" ht="75" x14ac:dyDescent="0.15">
      <c r="A64" s="5" t="s">
        <v>9</v>
      </c>
      <c r="B64" s="6" t="s">
        <v>10</v>
      </c>
      <c r="C64" s="6" t="s">
        <v>11</v>
      </c>
      <c r="D64" s="6" t="s">
        <v>12</v>
      </c>
      <c r="E64" s="6" t="s">
        <v>13</v>
      </c>
      <c r="F64" s="24" t="str">
        <f t="shared" si="0"/>
        <v>Средний</v>
      </c>
      <c r="G64" s="33">
        <v>7</v>
      </c>
      <c r="H64" s="13" t="s">
        <v>14</v>
      </c>
      <c r="I64" s="100">
        <v>7</v>
      </c>
      <c r="J64" s="58" t="s">
        <v>15</v>
      </c>
      <c r="K64" s="116" t="s">
        <v>445</v>
      </c>
      <c r="L64" s="88">
        <v>4</v>
      </c>
      <c r="M64" s="88">
        <v>4</v>
      </c>
      <c r="N64" s="94" t="s">
        <v>337</v>
      </c>
      <c r="O64" s="71">
        <f>Список_проектов_для_оценки3[[#This Row],[Оценка стоимости Nedra]]/(1+Список_проектов_для_оценки3[[#This Row],[Оценка сложности Nedra]])</f>
        <v>0.5</v>
      </c>
      <c r="P64" s="64" t="s">
        <v>405</v>
      </c>
    </row>
    <row r="65" spans="1:16" ht="150" x14ac:dyDescent="0.15">
      <c r="A65" s="7" t="s">
        <v>27</v>
      </c>
      <c r="B65" s="6" t="s">
        <v>44</v>
      </c>
      <c r="C65" s="6" t="s">
        <v>45</v>
      </c>
      <c r="D65" s="6" t="s">
        <v>46</v>
      </c>
      <c r="E65" s="70" t="s">
        <v>426</v>
      </c>
      <c r="F65" s="24" t="str">
        <f t="shared" si="0"/>
        <v>Средний</v>
      </c>
      <c r="G65" s="33">
        <v>7</v>
      </c>
      <c r="H65" s="18" t="s">
        <v>14</v>
      </c>
      <c r="I65" s="100">
        <v>8</v>
      </c>
      <c r="J65" s="59" t="s">
        <v>15</v>
      </c>
      <c r="K65" s="117" t="s">
        <v>444</v>
      </c>
      <c r="L65" s="88">
        <v>4</v>
      </c>
      <c r="M65" s="88">
        <v>4</v>
      </c>
      <c r="N65" s="91"/>
      <c r="O65" s="78">
        <f>Список_проектов_для_оценки3[[#This Row],[Оценка стоимости Nedra]]/(1+Список_проектов_для_оценки3[[#This Row],[Оценка сложности Nedra]])</f>
        <v>0.44444444444444442</v>
      </c>
      <c r="P65" s="64" t="s">
        <v>405</v>
      </c>
    </row>
    <row r="66" spans="1:16" ht="180" x14ac:dyDescent="0.15">
      <c r="A66" s="7" t="s">
        <v>27</v>
      </c>
      <c r="B66" s="6" t="s">
        <v>47</v>
      </c>
      <c r="C66" s="6" t="s">
        <v>48</v>
      </c>
      <c r="D66" s="6" t="s">
        <v>49</v>
      </c>
      <c r="E66" s="70" t="s">
        <v>426</v>
      </c>
      <c r="F66" s="25" t="str">
        <f t="shared" si="0"/>
        <v>Средний</v>
      </c>
      <c r="G66" s="32">
        <v>7</v>
      </c>
      <c r="H66" s="13" t="s">
        <v>14</v>
      </c>
      <c r="I66" s="100">
        <v>7</v>
      </c>
      <c r="J66" s="58" t="s">
        <v>15</v>
      </c>
      <c r="K66" s="116" t="s">
        <v>450</v>
      </c>
      <c r="L66" s="88">
        <v>4</v>
      </c>
      <c r="M66" s="88">
        <v>4</v>
      </c>
      <c r="N66" s="91"/>
      <c r="O66" s="71">
        <f>Список_проектов_для_оценки3[[#This Row],[Оценка стоимости Nedra]]/(1+Список_проектов_для_оценки3[[#This Row],[Оценка сложности Nedra]])</f>
        <v>0.5</v>
      </c>
      <c r="P66" s="64" t="s">
        <v>405</v>
      </c>
    </row>
    <row r="67" spans="1:16" ht="210" x14ac:dyDescent="0.15">
      <c r="A67" s="7" t="s">
        <v>27</v>
      </c>
      <c r="B67" s="6" t="s">
        <v>50</v>
      </c>
      <c r="C67" s="6" t="s">
        <v>51</v>
      </c>
      <c r="D67" s="6" t="s">
        <v>52</v>
      </c>
      <c r="E67" s="70" t="s">
        <v>426</v>
      </c>
      <c r="F67" s="24" t="str">
        <f t="shared" ref="F67:F111" si="1">IF(H67="🔴","Высокий",IF(H67="🟡","Средний",IF(H67="🟢","Низкий","")))</f>
        <v>Средний</v>
      </c>
      <c r="G67" s="33">
        <v>7</v>
      </c>
      <c r="H67" s="18" t="s">
        <v>14</v>
      </c>
      <c r="I67" s="100">
        <v>7</v>
      </c>
      <c r="J67" s="59" t="s">
        <v>15</v>
      </c>
      <c r="K67" s="117" t="s">
        <v>450</v>
      </c>
      <c r="L67" s="88">
        <v>4</v>
      </c>
      <c r="M67" s="88">
        <v>4</v>
      </c>
      <c r="N67" s="91"/>
      <c r="O67" s="78">
        <f>Список_проектов_для_оценки3[[#This Row],[Оценка стоимости Nedra]]/(1+Список_проектов_для_оценки3[[#This Row],[Оценка сложности Nedra]])</f>
        <v>0.5</v>
      </c>
      <c r="P67" s="64" t="s">
        <v>405</v>
      </c>
    </row>
    <row r="68" spans="1:16" ht="45" x14ac:dyDescent="0.15">
      <c r="A68" s="7" t="s">
        <v>27</v>
      </c>
      <c r="B68" s="6" t="s">
        <v>72</v>
      </c>
      <c r="C68" s="6" t="s">
        <v>73</v>
      </c>
      <c r="D68" s="6" t="s">
        <v>74</v>
      </c>
      <c r="E68" s="70" t="s">
        <v>426</v>
      </c>
      <c r="F68" s="25" t="str">
        <f t="shared" si="1"/>
        <v>Средний</v>
      </c>
      <c r="G68" s="33">
        <v>7</v>
      </c>
      <c r="H68" s="13" t="s">
        <v>14</v>
      </c>
      <c r="I68" s="100">
        <v>7</v>
      </c>
      <c r="J68" s="58" t="s">
        <v>15</v>
      </c>
      <c r="K68" s="116" t="s">
        <v>445</v>
      </c>
      <c r="L68" s="88">
        <v>4</v>
      </c>
      <c r="M68" s="88">
        <v>4</v>
      </c>
      <c r="N68" s="91"/>
      <c r="O68" s="71">
        <f>Список_проектов_для_оценки3[[#This Row],[Оценка стоимости Nedra]]/(1+Список_проектов_для_оценки3[[#This Row],[Оценка сложности Nedra]])</f>
        <v>0.5</v>
      </c>
      <c r="P68" s="68"/>
    </row>
    <row r="69" spans="1:16" ht="75" x14ac:dyDescent="0.15">
      <c r="A69" s="8" t="s">
        <v>75</v>
      </c>
      <c r="B69" s="6" t="s">
        <v>76</v>
      </c>
      <c r="C69" s="6" t="s">
        <v>77</v>
      </c>
      <c r="D69" s="6" t="s">
        <v>78</v>
      </c>
      <c r="E69" s="6" t="s">
        <v>79</v>
      </c>
      <c r="F69" s="24" t="str">
        <f t="shared" si="1"/>
        <v>Средний</v>
      </c>
      <c r="G69" s="33">
        <v>7</v>
      </c>
      <c r="H69" s="15" t="s">
        <v>14</v>
      </c>
      <c r="I69" s="100">
        <v>9</v>
      </c>
      <c r="J69" s="60" t="s">
        <v>20</v>
      </c>
      <c r="K69" s="115" t="s">
        <v>451</v>
      </c>
      <c r="L69" s="88">
        <v>4</v>
      </c>
      <c r="M69" s="88">
        <v>4</v>
      </c>
      <c r="N69" s="92" t="s">
        <v>345</v>
      </c>
      <c r="O69" s="71">
        <f>Список_проектов_для_оценки3[[#This Row],[Оценка стоимости Nedra]]/(1+Список_проектов_для_оценки3[[#This Row],[Оценка сложности Nedra]])</f>
        <v>0.4</v>
      </c>
      <c r="P69" s="65" t="s">
        <v>406</v>
      </c>
    </row>
    <row r="70" spans="1:16" ht="75" x14ac:dyDescent="0.15">
      <c r="A70" s="8" t="s">
        <v>75</v>
      </c>
      <c r="B70" s="6" t="s">
        <v>80</v>
      </c>
      <c r="C70" s="6" t="s">
        <v>81</v>
      </c>
      <c r="D70" s="6" t="s">
        <v>82</v>
      </c>
      <c r="E70" s="6" t="s">
        <v>79</v>
      </c>
      <c r="F70" s="25" t="str">
        <f t="shared" si="1"/>
        <v>Средний</v>
      </c>
      <c r="G70" s="33">
        <v>7</v>
      </c>
      <c r="H70" s="14" t="s">
        <v>14</v>
      </c>
      <c r="I70" s="100">
        <v>8</v>
      </c>
      <c r="J70" s="61" t="s">
        <v>20</v>
      </c>
      <c r="K70" s="118" t="s">
        <v>452</v>
      </c>
      <c r="L70" s="88">
        <v>4</v>
      </c>
      <c r="M70" s="88">
        <v>4</v>
      </c>
      <c r="N70" s="91"/>
      <c r="O70" s="78">
        <f>Список_проектов_для_оценки3[[#This Row],[Оценка стоимости Nedra]]/(1+Список_проектов_для_оценки3[[#This Row],[Оценка сложности Nedra]])</f>
        <v>0.44444444444444442</v>
      </c>
      <c r="P70" s="64" t="s">
        <v>405</v>
      </c>
    </row>
    <row r="71" spans="1:16" ht="105" x14ac:dyDescent="0.15">
      <c r="A71" s="8" t="s">
        <v>75</v>
      </c>
      <c r="B71" s="6" t="s">
        <v>83</v>
      </c>
      <c r="C71" s="6" t="s">
        <v>84</v>
      </c>
      <c r="D71" s="6" t="s">
        <v>85</v>
      </c>
      <c r="E71" s="6" t="s">
        <v>79</v>
      </c>
      <c r="F71" s="24" t="str">
        <f t="shared" si="1"/>
        <v>Средний</v>
      </c>
      <c r="G71" s="33">
        <v>7</v>
      </c>
      <c r="H71" s="13" t="s">
        <v>14</v>
      </c>
      <c r="I71" s="100">
        <v>7</v>
      </c>
      <c r="J71" s="58" t="s">
        <v>15</v>
      </c>
      <c r="K71" s="116" t="s">
        <v>445</v>
      </c>
      <c r="L71" s="88">
        <v>4</v>
      </c>
      <c r="M71" s="88">
        <v>4</v>
      </c>
      <c r="N71" s="91"/>
      <c r="O71" s="71">
        <f>Список_проектов_для_оценки3[[#This Row],[Оценка стоимости Nedra]]/(1+Список_проектов_для_оценки3[[#This Row],[Оценка сложности Nedra]])</f>
        <v>0.5</v>
      </c>
      <c r="P71" s="64" t="s">
        <v>405</v>
      </c>
    </row>
    <row r="72" spans="1:16" ht="120" x14ac:dyDescent="0.15">
      <c r="A72" s="8" t="s">
        <v>75</v>
      </c>
      <c r="B72" s="6" t="s">
        <v>89</v>
      </c>
      <c r="C72" s="6" t="s">
        <v>90</v>
      </c>
      <c r="D72" s="6" t="s">
        <v>91</v>
      </c>
      <c r="E72" s="6" t="s">
        <v>92</v>
      </c>
      <c r="F72" s="24" t="str">
        <f t="shared" si="1"/>
        <v>Средний</v>
      </c>
      <c r="G72" s="33">
        <v>7</v>
      </c>
      <c r="H72" s="13" t="s">
        <v>14</v>
      </c>
      <c r="I72" s="100">
        <v>9</v>
      </c>
      <c r="J72" s="58" t="s">
        <v>15</v>
      </c>
      <c r="K72" s="116" t="s">
        <v>451</v>
      </c>
      <c r="L72" s="88">
        <v>4</v>
      </c>
      <c r="M72" s="88">
        <v>4</v>
      </c>
      <c r="N72" s="91"/>
      <c r="O72" s="71">
        <f>Список_проектов_для_оценки3[[#This Row],[Оценка стоимости Nedra]]/(1+Список_проектов_для_оценки3[[#This Row],[Оценка сложности Nedra]])</f>
        <v>0.4</v>
      </c>
      <c r="P72" s="64" t="s">
        <v>405</v>
      </c>
    </row>
    <row r="73" spans="1:16" ht="90" x14ac:dyDescent="0.15">
      <c r="A73" s="8" t="s">
        <v>75</v>
      </c>
      <c r="B73" s="6" t="s">
        <v>93</v>
      </c>
      <c r="C73" s="6" t="s">
        <v>94</v>
      </c>
      <c r="D73" s="6" t="s">
        <v>95</v>
      </c>
      <c r="E73" s="6" t="s">
        <v>92</v>
      </c>
      <c r="F73" s="25" t="str">
        <f t="shared" si="1"/>
        <v>Средний</v>
      </c>
      <c r="G73" s="33">
        <v>7</v>
      </c>
      <c r="H73" s="18" t="s">
        <v>14</v>
      </c>
      <c r="I73" s="100">
        <v>7</v>
      </c>
      <c r="J73" s="59" t="s">
        <v>15</v>
      </c>
      <c r="K73" s="117" t="s">
        <v>445</v>
      </c>
      <c r="L73" s="88">
        <v>4</v>
      </c>
      <c r="M73" s="88">
        <v>4</v>
      </c>
      <c r="N73" s="91"/>
      <c r="O73" s="78">
        <f>Список_проектов_для_оценки3[[#This Row],[Оценка стоимости Nedra]]/(1+Список_проектов_для_оценки3[[#This Row],[Оценка сложности Nedra]])</f>
        <v>0.5</v>
      </c>
      <c r="P73" s="64" t="s">
        <v>405</v>
      </c>
    </row>
    <row r="74" spans="1:16" ht="90" x14ac:dyDescent="0.15">
      <c r="A74" s="8" t="s">
        <v>75</v>
      </c>
      <c r="B74" s="6" t="s">
        <v>99</v>
      </c>
      <c r="C74" s="6" t="s">
        <v>100</v>
      </c>
      <c r="D74" s="6" t="s">
        <v>101</v>
      </c>
      <c r="E74" s="6" t="s">
        <v>92</v>
      </c>
      <c r="F74" s="25" t="str">
        <f t="shared" si="1"/>
        <v>Средний</v>
      </c>
      <c r="G74" s="33">
        <v>7</v>
      </c>
      <c r="H74" s="18" t="s">
        <v>14</v>
      </c>
      <c r="I74" s="100">
        <v>7</v>
      </c>
      <c r="J74" s="59" t="s">
        <v>15</v>
      </c>
      <c r="K74" s="117" t="s">
        <v>445</v>
      </c>
      <c r="L74" s="88">
        <v>4</v>
      </c>
      <c r="M74" s="88">
        <v>4</v>
      </c>
      <c r="N74" s="91"/>
      <c r="O74" s="78">
        <f>Список_проектов_для_оценки3[[#This Row],[Оценка стоимости Nedra]]/(1+Список_проектов_для_оценки3[[#This Row],[Оценка сложности Nedra]])</f>
        <v>0.5</v>
      </c>
      <c r="P74" s="64" t="s">
        <v>405</v>
      </c>
    </row>
    <row r="75" spans="1:16" ht="45" x14ac:dyDescent="0.15">
      <c r="A75" s="8" t="s">
        <v>102</v>
      </c>
      <c r="B75" s="6" t="s">
        <v>103</v>
      </c>
      <c r="C75" s="6" t="s">
        <v>104</v>
      </c>
      <c r="D75" s="6" t="s">
        <v>105</v>
      </c>
      <c r="E75" s="6" t="s">
        <v>106</v>
      </c>
      <c r="F75" s="24" t="str">
        <f t="shared" si="1"/>
        <v>Средний</v>
      </c>
      <c r="G75" s="33">
        <v>7</v>
      </c>
      <c r="H75" s="14" t="s">
        <v>14</v>
      </c>
      <c r="I75" s="100">
        <v>9</v>
      </c>
      <c r="J75" s="61" t="s">
        <v>20</v>
      </c>
      <c r="K75" s="118" t="s">
        <v>451</v>
      </c>
      <c r="L75" s="88">
        <v>4</v>
      </c>
      <c r="M75" s="88">
        <v>4</v>
      </c>
      <c r="N75" s="91"/>
      <c r="O75" s="78">
        <f>Список_проектов_для_оценки3[[#This Row],[Оценка стоимости Nedra]]/(1+Список_проектов_для_оценки3[[#This Row],[Оценка сложности Nedra]])</f>
        <v>0.4</v>
      </c>
      <c r="P75" s="64" t="s">
        <v>405</v>
      </c>
    </row>
    <row r="76" spans="1:16" ht="75" x14ac:dyDescent="0.15">
      <c r="A76" s="8" t="s">
        <v>102</v>
      </c>
      <c r="B76" s="6" t="s">
        <v>116</v>
      </c>
      <c r="C76" s="6" t="s">
        <v>117</v>
      </c>
      <c r="D76" s="6" t="s">
        <v>118</v>
      </c>
      <c r="E76" s="6" t="s">
        <v>119</v>
      </c>
      <c r="F76" s="24" t="str">
        <f t="shared" si="1"/>
        <v>Средний</v>
      </c>
      <c r="G76" s="33">
        <v>7</v>
      </c>
      <c r="H76" s="18" t="s">
        <v>14</v>
      </c>
      <c r="I76" s="100">
        <v>8</v>
      </c>
      <c r="J76" s="59" t="s">
        <v>15</v>
      </c>
      <c r="K76" s="117" t="s">
        <v>453</v>
      </c>
      <c r="L76" s="88">
        <v>4</v>
      </c>
      <c r="M76" s="88">
        <v>4</v>
      </c>
      <c r="N76" s="91"/>
      <c r="O76" s="78">
        <f>Список_проектов_для_оценки3[[#This Row],[Оценка стоимости Nedra]]/(1+Список_проектов_для_оценки3[[#This Row],[Оценка сложности Nedra]])</f>
        <v>0.44444444444444442</v>
      </c>
      <c r="P76" s="64" t="s">
        <v>405</v>
      </c>
    </row>
    <row r="77" spans="1:16" ht="60" x14ac:dyDescent="0.15">
      <c r="A77" s="8" t="s">
        <v>120</v>
      </c>
      <c r="B77" s="6" t="s">
        <v>131</v>
      </c>
      <c r="C77" s="6" t="s">
        <v>132</v>
      </c>
      <c r="D77" s="6" t="s">
        <v>133</v>
      </c>
      <c r="E77" s="6" t="s">
        <v>124</v>
      </c>
      <c r="F77" s="24" t="str">
        <f t="shared" si="1"/>
        <v>Средний</v>
      </c>
      <c r="G77" s="33">
        <v>7</v>
      </c>
      <c r="H77" s="13" t="s">
        <v>14</v>
      </c>
      <c r="I77" s="100">
        <v>7</v>
      </c>
      <c r="J77" s="58" t="s">
        <v>15</v>
      </c>
      <c r="K77" s="116" t="s">
        <v>445</v>
      </c>
      <c r="L77" s="88">
        <v>4</v>
      </c>
      <c r="M77" s="88">
        <v>4</v>
      </c>
      <c r="N77" s="91"/>
      <c r="O77" s="71">
        <f>Список_проектов_для_оценки3[[#This Row],[Оценка стоимости Nedra]]/(1+Список_проектов_для_оценки3[[#This Row],[Оценка сложности Nedra]])</f>
        <v>0.5</v>
      </c>
      <c r="P77" s="64" t="s">
        <v>405</v>
      </c>
    </row>
    <row r="78" spans="1:16" ht="60" x14ac:dyDescent="0.15">
      <c r="A78" s="8" t="s">
        <v>120</v>
      </c>
      <c r="B78" s="6" t="s">
        <v>137</v>
      </c>
      <c r="C78" s="6" t="s">
        <v>138</v>
      </c>
      <c r="D78" s="6" t="s">
        <v>139</v>
      </c>
      <c r="E78" s="6" t="s">
        <v>124</v>
      </c>
      <c r="F78" s="24" t="str">
        <f t="shared" si="1"/>
        <v>Средний</v>
      </c>
      <c r="G78" s="33">
        <v>7</v>
      </c>
      <c r="H78" s="13" t="s">
        <v>14</v>
      </c>
      <c r="I78" s="100">
        <v>6</v>
      </c>
      <c r="J78" s="58" t="s">
        <v>15</v>
      </c>
      <c r="K78" s="116" t="s">
        <v>443</v>
      </c>
      <c r="L78" s="88">
        <v>4</v>
      </c>
      <c r="M78" s="88">
        <v>4</v>
      </c>
      <c r="N78" s="91"/>
      <c r="O78" s="71">
        <f>Список_проектов_для_оценки3[[#This Row],[Оценка стоимости Nedra]]/(1+Список_проектов_для_оценки3[[#This Row],[Оценка сложности Nedra]])</f>
        <v>0.5714285714285714</v>
      </c>
      <c r="P78" s="64" t="s">
        <v>405</v>
      </c>
    </row>
    <row r="79" spans="1:16" ht="45" x14ac:dyDescent="0.15">
      <c r="A79" s="8" t="s">
        <v>149</v>
      </c>
      <c r="B79" s="6" t="s">
        <v>164</v>
      </c>
      <c r="C79" s="6" t="s">
        <v>165</v>
      </c>
      <c r="D79" s="6" t="s">
        <v>166</v>
      </c>
      <c r="E79" s="6" t="s">
        <v>167</v>
      </c>
      <c r="F79" s="24" t="str">
        <f t="shared" si="1"/>
        <v>Средний</v>
      </c>
      <c r="G79" s="33">
        <v>7</v>
      </c>
      <c r="H79" s="18" t="s">
        <v>14</v>
      </c>
      <c r="I79" s="100">
        <v>8</v>
      </c>
      <c r="J79" s="59" t="s">
        <v>15</v>
      </c>
      <c r="K79" s="117" t="s">
        <v>453</v>
      </c>
      <c r="L79" s="88">
        <v>4</v>
      </c>
      <c r="M79" s="88">
        <v>4</v>
      </c>
      <c r="N79" s="91"/>
      <c r="O79" s="78">
        <f>Список_проектов_для_оценки3[[#This Row],[Оценка стоимости Nedra]]/(1+Список_проектов_для_оценки3[[#This Row],[Оценка сложности Nedra]])</f>
        <v>0.44444444444444442</v>
      </c>
      <c r="P79" s="64" t="s">
        <v>405</v>
      </c>
    </row>
    <row r="80" spans="1:16" ht="105" x14ac:dyDescent="0.15">
      <c r="A80" s="8" t="s">
        <v>149</v>
      </c>
      <c r="B80" s="6" t="s">
        <v>187</v>
      </c>
      <c r="C80" s="6" t="s">
        <v>188</v>
      </c>
      <c r="D80" s="6" t="s">
        <v>189</v>
      </c>
      <c r="E80" s="6" t="s">
        <v>190</v>
      </c>
      <c r="F80" s="25" t="str">
        <f t="shared" si="1"/>
        <v>Средний</v>
      </c>
      <c r="G80" s="33">
        <v>7</v>
      </c>
      <c r="H80" s="13" t="s">
        <v>14</v>
      </c>
      <c r="I80" s="100">
        <v>7</v>
      </c>
      <c r="J80" s="58" t="s">
        <v>15</v>
      </c>
      <c r="K80" s="116" t="s">
        <v>445</v>
      </c>
      <c r="L80" s="88">
        <v>4</v>
      </c>
      <c r="M80" s="88">
        <v>4</v>
      </c>
      <c r="N80" s="91"/>
      <c r="O80" s="71">
        <f>Список_проектов_для_оценки3[[#This Row],[Оценка стоимости Nedra]]/(1+Список_проектов_для_оценки3[[#This Row],[Оценка сложности Nedra]])</f>
        <v>0.5</v>
      </c>
      <c r="P80" s="64" t="s">
        <v>405</v>
      </c>
    </row>
    <row r="81" spans="1:16" ht="120" x14ac:dyDescent="0.15">
      <c r="A81" s="8" t="s">
        <v>149</v>
      </c>
      <c r="B81" s="6" t="s">
        <v>191</v>
      </c>
      <c r="C81" s="6" t="s">
        <v>192</v>
      </c>
      <c r="D81" s="6" t="s">
        <v>193</v>
      </c>
      <c r="E81" s="6" t="s">
        <v>190</v>
      </c>
      <c r="F81" s="24" t="str">
        <f t="shared" si="1"/>
        <v>Средний</v>
      </c>
      <c r="G81" s="33">
        <v>7</v>
      </c>
      <c r="H81" s="14" t="s">
        <v>14</v>
      </c>
      <c r="I81" s="100">
        <v>8</v>
      </c>
      <c r="J81" s="61" t="s">
        <v>15</v>
      </c>
      <c r="K81" s="118" t="s">
        <v>452</v>
      </c>
      <c r="L81" s="88">
        <v>4</v>
      </c>
      <c r="M81" s="88">
        <v>4</v>
      </c>
      <c r="N81" s="92" t="s">
        <v>339</v>
      </c>
      <c r="O81" s="78">
        <f>Список_проектов_для_оценки3[[#This Row],[Оценка стоимости Nedra]]/(1+Список_проектов_для_оценки3[[#This Row],[Оценка сложности Nedra]])</f>
        <v>0.44444444444444442</v>
      </c>
      <c r="P81" s="65" t="s">
        <v>406</v>
      </c>
    </row>
    <row r="82" spans="1:16" ht="105" x14ac:dyDescent="0.15">
      <c r="A82" s="8" t="s">
        <v>149</v>
      </c>
      <c r="B82" s="6" t="s">
        <v>209</v>
      </c>
      <c r="C82" s="6" t="s">
        <v>210</v>
      </c>
      <c r="D82" s="6" t="s">
        <v>211</v>
      </c>
      <c r="E82" s="6" t="s">
        <v>208</v>
      </c>
      <c r="F82" s="25" t="str">
        <f t="shared" si="1"/>
        <v>Средний</v>
      </c>
      <c r="G82" s="33">
        <v>7</v>
      </c>
      <c r="H82" s="13" t="s">
        <v>14</v>
      </c>
      <c r="I82" s="100">
        <v>7</v>
      </c>
      <c r="J82" s="58" t="s">
        <v>15</v>
      </c>
      <c r="K82" s="116" t="s">
        <v>445</v>
      </c>
      <c r="L82" s="88">
        <v>4</v>
      </c>
      <c r="M82" s="88">
        <v>4</v>
      </c>
      <c r="N82" s="91"/>
      <c r="O82" s="71">
        <f>Список_проектов_для_оценки3[[#This Row],[Оценка стоимости Nedra]]/(1+Список_проектов_для_оценки3[[#This Row],[Оценка сложности Nedra]])</f>
        <v>0.5</v>
      </c>
      <c r="P82" s="64" t="s">
        <v>405</v>
      </c>
    </row>
    <row r="83" spans="1:16" ht="120" x14ac:dyDescent="0.15">
      <c r="A83" s="8" t="s">
        <v>149</v>
      </c>
      <c r="B83" s="6" t="s">
        <v>216</v>
      </c>
      <c r="C83" s="6" t="s">
        <v>217</v>
      </c>
      <c r="D83" s="6" t="s">
        <v>218</v>
      </c>
      <c r="E83" s="6" t="s">
        <v>215</v>
      </c>
      <c r="F83" s="25" t="str">
        <f t="shared" si="1"/>
        <v>Средний</v>
      </c>
      <c r="G83" s="33">
        <v>7</v>
      </c>
      <c r="H83" s="13" t="s">
        <v>14</v>
      </c>
      <c r="I83" s="100">
        <v>7</v>
      </c>
      <c r="J83" s="58" t="s">
        <v>15</v>
      </c>
      <c r="K83" s="116" t="s">
        <v>450</v>
      </c>
      <c r="L83" s="88">
        <v>4</v>
      </c>
      <c r="M83" s="88">
        <v>4</v>
      </c>
      <c r="N83" s="91"/>
      <c r="O83" s="71">
        <f>Список_проектов_для_оценки3[[#This Row],[Оценка стоимости Nedra]]/(1+Список_проектов_для_оценки3[[#This Row],[Оценка сложности Nedra]])</f>
        <v>0.5</v>
      </c>
      <c r="P83" s="64" t="s">
        <v>405</v>
      </c>
    </row>
    <row r="84" spans="1:16" ht="60" x14ac:dyDescent="0.15">
      <c r="A84" s="8" t="s">
        <v>149</v>
      </c>
      <c r="B84" s="6" t="s">
        <v>229</v>
      </c>
      <c r="C84" s="6" t="s">
        <v>230</v>
      </c>
      <c r="D84" s="6" t="s">
        <v>231</v>
      </c>
      <c r="E84" s="6" t="s">
        <v>232</v>
      </c>
      <c r="F84" s="25" t="str">
        <f t="shared" si="1"/>
        <v>Средний</v>
      </c>
      <c r="G84" s="33">
        <v>7</v>
      </c>
      <c r="H84" s="13" t="s">
        <v>14</v>
      </c>
      <c r="I84" s="100">
        <v>7</v>
      </c>
      <c r="J84" s="58" t="s">
        <v>15</v>
      </c>
      <c r="K84" s="116" t="s">
        <v>445</v>
      </c>
      <c r="L84" s="88">
        <v>4</v>
      </c>
      <c r="M84" s="88">
        <v>4</v>
      </c>
      <c r="N84" s="91"/>
      <c r="O84" s="71">
        <f>Список_проектов_для_оценки3[[#This Row],[Оценка стоимости Nedra]]/(1+Список_проектов_для_оценки3[[#This Row],[Оценка сложности Nedra]])</f>
        <v>0.5</v>
      </c>
      <c r="P84" s="64" t="s">
        <v>405</v>
      </c>
    </row>
    <row r="85" spans="1:16" ht="60" x14ac:dyDescent="0.15">
      <c r="A85" s="8" t="s">
        <v>149</v>
      </c>
      <c r="B85" s="6" t="s">
        <v>233</v>
      </c>
      <c r="C85" s="6" t="s">
        <v>234</v>
      </c>
      <c r="D85" s="6" t="s">
        <v>235</v>
      </c>
      <c r="E85" s="6" t="s">
        <v>232</v>
      </c>
      <c r="F85" s="24" t="str">
        <f t="shared" si="1"/>
        <v>Средний</v>
      </c>
      <c r="G85" s="33">
        <v>7</v>
      </c>
      <c r="H85" s="18" t="s">
        <v>14</v>
      </c>
      <c r="I85" s="100">
        <v>7</v>
      </c>
      <c r="J85" s="59" t="s">
        <v>15</v>
      </c>
      <c r="K85" s="117" t="s">
        <v>444</v>
      </c>
      <c r="L85" s="88">
        <v>4</v>
      </c>
      <c r="M85" s="88">
        <v>4</v>
      </c>
      <c r="N85" s="91"/>
      <c r="O85" s="78">
        <f>Список_проектов_для_оценки3[[#This Row],[Оценка стоимости Nedra]]/(1+Список_проектов_для_оценки3[[#This Row],[Оценка сложности Nedra]])</f>
        <v>0.5</v>
      </c>
      <c r="P85" s="64" t="s">
        <v>405</v>
      </c>
    </row>
    <row r="86" spans="1:16" ht="90" x14ac:dyDescent="0.15">
      <c r="A86" s="11" t="s">
        <v>249</v>
      </c>
      <c r="B86" s="6" t="s">
        <v>253</v>
      </c>
      <c r="C86" s="6" t="s">
        <v>254</v>
      </c>
      <c r="D86" s="6" t="s">
        <v>252</v>
      </c>
      <c r="E86" s="6" t="s">
        <v>255</v>
      </c>
      <c r="F86" s="25" t="str">
        <f t="shared" si="1"/>
        <v>Средний</v>
      </c>
      <c r="G86" s="33">
        <v>7</v>
      </c>
      <c r="H86" s="18" t="s">
        <v>14</v>
      </c>
      <c r="I86" s="100">
        <v>7</v>
      </c>
      <c r="J86" s="59" t="s">
        <v>15</v>
      </c>
      <c r="K86" s="117" t="s">
        <v>445</v>
      </c>
      <c r="L86" s="88">
        <v>4</v>
      </c>
      <c r="M86" s="88">
        <v>4</v>
      </c>
      <c r="N86" s="91"/>
      <c r="O86" s="78">
        <f>Список_проектов_для_оценки3[[#This Row],[Оценка стоимости Nedra]]/(1+Список_проектов_для_оценки3[[#This Row],[Оценка сложности Nedra]])</f>
        <v>0.5</v>
      </c>
      <c r="P86" s="64" t="s">
        <v>405</v>
      </c>
    </row>
    <row r="87" spans="1:16" ht="342" x14ac:dyDescent="0.15">
      <c r="A87" s="11" t="s">
        <v>256</v>
      </c>
      <c r="B87" s="6" t="s">
        <v>273</v>
      </c>
      <c r="C87" s="6" t="s">
        <v>274</v>
      </c>
      <c r="D87" s="6" t="s">
        <v>275</v>
      </c>
      <c r="E87" s="6" t="s">
        <v>276</v>
      </c>
      <c r="F87" s="24" t="str">
        <f t="shared" si="1"/>
        <v>Средний</v>
      </c>
      <c r="G87" s="33">
        <v>7</v>
      </c>
      <c r="H87" s="13" t="s">
        <v>14</v>
      </c>
      <c r="I87" s="100">
        <v>6</v>
      </c>
      <c r="J87" s="58" t="s">
        <v>15</v>
      </c>
      <c r="K87" s="116" t="s">
        <v>443</v>
      </c>
      <c r="L87" s="33">
        <v>7</v>
      </c>
      <c r="M87" s="88">
        <v>4</v>
      </c>
      <c r="N87" s="91"/>
      <c r="O87" s="71">
        <f>Список_проектов_для_оценки3[[#This Row],[Оценка стоимости Nedra]]/(1+Список_проектов_для_оценки3[[#This Row],[Оценка сложности Nedra]])</f>
        <v>1</v>
      </c>
      <c r="P87" s="64" t="s">
        <v>405</v>
      </c>
    </row>
    <row r="88" spans="1:16" ht="180" x14ac:dyDescent="0.15">
      <c r="A88" s="11" t="s">
        <v>256</v>
      </c>
      <c r="B88" s="6" t="s">
        <v>257</v>
      </c>
      <c r="C88" s="6" t="s">
        <v>277</v>
      </c>
      <c r="D88" s="6" t="s">
        <v>278</v>
      </c>
      <c r="E88" s="6" t="s">
        <v>279</v>
      </c>
      <c r="F88" s="25" t="str">
        <f t="shared" si="1"/>
        <v>Средний</v>
      </c>
      <c r="G88" s="33">
        <v>7</v>
      </c>
      <c r="H88" s="18" t="s">
        <v>14</v>
      </c>
      <c r="I88" s="100">
        <v>7</v>
      </c>
      <c r="J88" s="59" t="s">
        <v>15</v>
      </c>
      <c r="K88" s="117" t="s">
        <v>454</v>
      </c>
      <c r="L88" s="88">
        <v>4</v>
      </c>
      <c r="M88" s="88">
        <v>4</v>
      </c>
      <c r="N88" s="91"/>
      <c r="O88" s="78">
        <f>Список_проектов_для_оценки3[[#This Row],[Оценка стоимости Nedra]]/(1+Список_проектов_для_оценки3[[#This Row],[Оценка сложности Nedra]])</f>
        <v>0.5</v>
      </c>
      <c r="P88" s="64" t="s">
        <v>405</v>
      </c>
    </row>
    <row r="89" spans="1:16" ht="135" x14ac:dyDescent="0.15">
      <c r="A89" s="12" t="s">
        <v>287</v>
      </c>
      <c r="B89" s="6" t="s">
        <v>288</v>
      </c>
      <c r="C89" s="6" t="s">
        <v>289</v>
      </c>
      <c r="D89" s="6" t="s">
        <v>290</v>
      </c>
      <c r="E89" s="6" t="s">
        <v>291</v>
      </c>
      <c r="F89" s="24" t="str">
        <f t="shared" si="1"/>
        <v>Средний</v>
      </c>
      <c r="G89" s="33">
        <v>7</v>
      </c>
      <c r="H89" s="14" t="s">
        <v>14</v>
      </c>
      <c r="I89" s="100">
        <v>8</v>
      </c>
      <c r="J89" s="61" t="s">
        <v>15</v>
      </c>
      <c r="K89" s="118" t="s">
        <v>452</v>
      </c>
      <c r="L89" s="88">
        <v>4</v>
      </c>
      <c r="M89" s="88">
        <v>4</v>
      </c>
      <c r="N89" s="92" t="s">
        <v>292</v>
      </c>
      <c r="O89" s="78">
        <f>Список_проектов_для_оценки3[[#This Row],[Оценка стоимости Nedra]]/(1+Список_проектов_для_оценки3[[#This Row],[Оценка сложности Nedra]])</f>
        <v>0.44444444444444442</v>
      </c>
      <c r="P89" s="65" t="s">
        <v>406</v>
      </c>
    </row>
    <row r="90" spans="1:16" ht="60" x14ac:dyDescent="0.15">
      <c r="A90" s="22" t="s">
        <v>326</v>
      </c>
      <c r="B90" s="6" t="s">
        <v>380</v>
      </c>
      <c r="C90" s="6" t="s">
        <v>399</v>
      </c>
      <c r="D90" s="6" t="s">
        <v>361</v>
      </c>
      <c r="E90" s="6" t="s">
        <v>346</v>
      </c>
      <c r="F90" s="25" t="str">
        <f t="shared" si="1"/>
        <v>Средний</v>
      </c>
      <c r="G90" s="33">
        <v>7</v>
      </c>
      <c r="H90" s="14" t="s">
        <v>14</v>
      </c>
      <c r="I90" s="100">
        <v>8</v>
      </c>
      <c r="J90" s="60" t="s">
        <v>20</v>
      </c>
      <c r="K90" s="115" t="s">
        <v>444</v>
      </c>
      <c r="L90" s="88">
        <v>4</v>
      </c>
      <c r="M90" s="88">
        <v>4</v>
      </c>
      <c r="N90" s="91" t="s">
        <v>421</v>
      </c>
      <c r="O90" s="71">
        <f>Список_проектов_для_оценки3[[#This Row],[Оценка стоимости Nedra]]/(1+Список_проектов_для_оценки3[[#This Row],[Оценка сложности Nedra]])</f>
        <v>0.44444444444444442</v>
      </c>
      <c r="P90" s="64" t="s">
        <v>405</v>
      </c>
    </row>
    <row r="91" spans="1:16" ht="105" x14ac:dyDescent="0.15">
      <c r="A91" s="5" t="s">
        <v>9</v>
      </c>
      <c r="B91" s="6" t="s">
        <v>10</v>
      </c>
      <c r="C91" s="6" t="s">
        <v>16</v>
      </c>
      <c r="D91" s="6" t="s">
        <v>17</v>
      </c>
      <c r="E91" s="6" t="s">
        <v>18</v>
      </c>
      <c r="F91" s="26" t="str">
        <f t="shared" si="1"/>
        <v>Высокий</v>
      </c>
      <c r="G91" s="34">
        <v>10</v>
      </c>
      <c r="H91" s="14" t="s">
        <v>19</v>
      </c>
      <c r="I91" s="100">
        <v>9</v>
      </c>
      <c r="J91" s="61" t="s">
        <v>20</v>
      </c>
      <c r="K91" s="118" t="s">
        <v>455</v>
      </c>
      <c r="L91" s="88">
        <v>4</v>
      </c>
      <c r="M91" s="88">
        <v>4</v>
      </c>
      <c r="N91" s="91"/>
      <c r="O91" s="78">
        <f>Список_проектов_для_оценки3[[#This Row],[Оценка стоимости Nedra]]/(1+Список_проектов_для_оценки3[[#This Row],[Оценка сложности Nedra]])</f>
        <v>0.4</v>
      </c>
      <c r="P91" s="64" t="s">
        <v>405</v>
      </c>
    </row>
    <row r="92" spans="1:16" ht="60" x14ac:dyDescent="0.15">
      <c r="A92" s="5" t="s">
        <v>9</v>
      </c>
      <c r="B92" s="6" t="s">
        <v>10</v>
      </c>
      <c r="C92" s="6" t="s">
        <v>21</v>
      </c>
      <c r="D92" s="6" t="s">
        <v>329</v>
      </c>
      <c r="E92" s="6" t="s">
        <v>18</v>
      </c>
      <c r="F92" s="27" t="str">
        <f t="shared" si="1"/>
        <v>Высокий</v>
      </c>
      <c r="G92" s="35">
        <v>10</v>
      </c>
      <c r="H92" s="15" t="s">
        <v>19</v>
      </c>
      <c r="I92" s="100">
        <v>9</v>
      </c>
      <c r="J92" s="60" t="s">
        <v>20</v>
      </c>
      <c r="K92" s="115" t="s">
        <v>455</v>
      </c>
      <c r="L92" s="88">
        <v>4</v>
      </c>
      <c r="M92" s="88">
        <v>4</v>
      </c>
      <c r="N92" s="92" t="s">
        <v>336</v>
      </c>
      <c r="O92" s="71">
        <f>Список_проектов_для_оценки3[[#This Row],[Оценка стоимости Nedra]]/(1+Список_проектов_для_оценки3[[#This Row],[Оценка сложности Nedra]])</f>
        <v>0.4</v>
      </c>
      <c r="P92" s="65" t="s">
        <v>406</v>
      </c>
    </row>
    <row r="93" spans="1:16" ht="75" x14ac:dyDescent="0.15">
      <c r="A93" s="5" t="s">
        <v>9</v>
      </c>
      <c r="B93" s="63" t="s">
        <v>10</v>
      </c>
      <c r="C93" s="63" t="s">
        <v>22</v>
      </c>
      <c r="D93" s="6" t="s">
        <v>23</v>
      </c>
      <c r="E93" s="63" t="s">
        <v>13</v>
      </c>
      <c r="F93" s="66" t="str">
        <f t="shared" si="1"/>
        <v>Высокий</v>
      </c>
      <c r="G93" s="34">
        <v>10</v>
      </c>
      <c r="H93" s="14" t="s">
        <v>19</v>
      </c>
      <c r="I93" s="101">
        <v>10</v>
      </c>
      <c r="J93" s="67" t="s">
        <v>20</v>
      </c>
      <c r="K93" s="119" t="s">
        <v>456</v>
      </c>
      <c r="L93" s="88">
        <v>4</v>
      </c>
      <c r="M93" s="89">
        <v>4</v>
      </c>
      <c r="N93" s="95"/>
      <c r="O93" s="79">
        <f>Список_проектов_для_оценки3[[#This Row],[Оценка стоимости Nedra]]/(1+Список_проектов_для_оценки3[[#This Row],[Оценка сложности Nedra]])</f>
        <v>0.36363636363636365</v>
      </c>
      <c r="P93" s="64" t="s">
        <v>405</v>
      </c>
    </row>
    <row r="94" spans="1:16" ht="75" x14ac:dyDescent="0.15">
      <c r="A94" s="5" t="s">
        <v>9</v>
      </c>
      <c r="B94" s="63" t="s">
        <v>10</v>
      </c>
      <c r="C94" s="6" t="s">
        <v>24</v>
      </c>
      <c r="D94" s="6" t="s">
        <v>25</v>
      </c>
      <c r="E94" s="63" t="s">
        <v>26</v>
      </c>
      <c r="F94" s="27" t="str">
        <f t="shared" si="1"/>
        <v>Высокий</v>
      </c>
      <c r="G94" s="35">
        <v>10</v>
      </c>
      <c r="H94" s="15" t="s">
        <v>19</v>
      </c>
      <c r="I94" s="100">
        <v>10</v>
      </c>
      <c r="J94" s="60" t="s">
        <v>20</v>
      </c>
      <c r="K94" s="115" t="s">
        <v>456</v>
      </c>
      <c r="L94" s="88">
        <v>4</v>
      </c>
      <c r="M94" s="88">
        <v>4</v>
      </c>
      <c r="N94" s="91"/>
      <c r="O94" s="80">
        <f>Список_проектов_для_оценки3[[#This Row],[Оценка стоимости Nedra]]/(1+Список_проектов_для_оценки3[[#This Row],[Оценка сложности Nedra]])</f>
        <v>0.36363636363636365</v>
      </c>
      <c r="P94" s="64" t="s">
        <v>405</v>
      </c>
    </row>
    <row r="95" spans="1:16" ht="150" x14ac:dyDescent="0.15">
      <c r="A95" s="8" t="s">
        <v>120</v>
      </c>
      <c r="B95" s="6" t="s">
        <v>140</v>
      </c>
      <c r="C95" s="6" t="s">
        <v>141</v>
      </c>
      <c r="D95" s="6" t="s">
        <v>142</v>
      </c>
      <c r="E95" s="63" t="s">
        <v>124</v>
      </c>
      <c r="F95" s="26" t="str">
        <f t="shared" si="1"/>
        <v>Высокий</v>
      </c>
      <c r="G95" s="34">
        <v>10</v>
      </c>
      <c r="H95" s="18" t="s">
        <v>19</v>
      </c>
      <c r="I95" s="101">
        <v>9</v>
      </c>
      <c r="J95" s="59" t="s">
        <v>20</v>
      </c>
      <c r="K95" s="120" t="s">
        <v>455</v>
      </c>
      <c r="L95" s="88">
        <v>4</v>
      </c>
      <c r="M95" s="89">
        <v>4</v>
      </c>
      <c r="N95" s="91"/>
      <c r="O95" s="79">
        <f>Список_проектов_для_оценки3[[#This Row],[Оценка стоимости Nedra]]/(1+Список_проектов_для_оценки3[[#This Row],[Оценка сложности Nedra]])</f>
        <v>0.4</v>
      </c>
      <c r="P95" s="64" t="s">
        <v>405</v>
      </c>
    </row>
    <row r="96" spans="1:16" ht="60" x14ac:dyDescent="0.15">
      <c r="A96" s="8" t="s">
        <v>149</v>
      </c>
      <c r="B96" s="6" t="s">
        <v>168</v>
      </c>
      <c r="C96" s="6" t="s">
        <v>169</v>
      </c>
      <c r="D96" s="6" t="s">
        <v>170</v>
      </c>
      <c r="E96" s="63" t="s">
        <v>171</v>
      </c>
      <c r="F96" s="26" t="str">
        <f t="shared" si="1"/>
        <v>Высокий</v>
      </c>
      <c r="G96" s="34">
        <v>10</v>
      </c>
      <c r="H96" s="13" t="s">
        <v>19</v>
      </c>
      <c r="I96" s="101">
        <v>9</v>
      </c>
      <c r="J96" s="58" t="s">
        <v>20</v>
      </c>
      <c r="K96" s="121" t="s">
        <v>455</v>
      </c>
      <c r="L96" s="88">
        <v>4</v>
      </c>
      <c r="M96" s="89">
        <v>4</v>
      </c>
      <c r="N96" s="91"/>
      <c r="O96" s="80">
        <f>Список_проектов_для_оценки3[[#This Row],[Оценка стоимости Nedra]]/(1+Список_проектов_для_оценки3[[#This Row],[Оценка сложности Nedra]])</f>
        <v>0.4</v>
      </c>
      <c r="P96" s="64" t="s">
        <v>405</v>
      </c>
    </row>
    <row r="97" spans="1:29" ht="45" x14ac:dyDescent="0.15">
      <c r="A97" s="8" t="s">
        <v>149</v>
      </c>
      <c r="B97" s="6" t="s">
        <v>172</v>
      </c>
      <c r="C97" s="6" t="s">
        <v>173</v>
      </c>
      <c r="D97" s="6" t="s">
        <v>170</v>
      </c>
      <c r="E97" s="63" t="s">
        <v>171</v>
      </c>
      <c r="F97" s="27" t="str">
        <f t="shared" si="1"/>
        <v>Высокий</v>
      </c>
      <c r="G97" s="34">
        <v>10</v>
      </c>
      <c r="H97" s="18" t="s">
        <v>19</v>
      </c>
      <c r="I97" s="100">
        <v>9</v>
      </c>
      <c r="J97" s="59" t="s">
        <v>20</v>
      </c>
      <c r="K97" s="117" t="s">
        <v>455</v>
      </c>
      <c r="L97" s="88">
        <v>4</v>
      </c>
      <c r="M97" s="88">
        <v>4</v>
      </c>
      <c r="N97" s="91"/>
      <c r="O97" s="79">
        <f>Список_проектов_для_оценки3[[#This Row],[Оценка стоимости Nedra]]/(1+Список_проектов_для_оценки3[[#This Row],[Оценка сложности Nedra]])</f>
        <v>0.4</v>
      </c>
      <c r="P97" s="64" t="s">
        <v>405</v>
      </c>
    </row>
    <row r="98" spans="1:29" ht="75" x14ac:dyDescent="0.15">
      <c r="A98" s="8" t="s">
        <v>149</v>
      </c>
      <c r="B98" s="72" t="s">
        <v>201</v>
      </c>
      <c r="C98" s="72" t="s">
        <v>202</v>
      </c>
      <c r="D98" s="72" t="s">
        <v>203</v>
      </c>
      <c r="E98" s="81" t="s">
        <v>204</v>
      </c>
      <c r="F98" s="26" t="str">
        <f t="shared" si="1"/>
        <v>Высокий</v>
      </c>
      <c r="G98" s="34">
        <v>10</v>
      </c>
      <c r="H98" s="15" t="s">
        <v>19</v>
      </c>
      <c r="I98" s="100">
        <v>8</v>
      </c>
      <c r="J98" s="60" t="s">
        <v>20</v>
      </c>
      <c r="K98" s="115" t="s">
        <v>451</v>
      </c>
      <c r="L98" s="88">
        <v>4</v>
      </c>
      <c r="M98" s="88">
        <v>4</v>
      </c>
      <c r="N98" s="93" t="s">
        <v>344</v>
      </c>
      <c r="O98" s="80">
        <f>Список_проектов_для_оценки3[[#This Row],[Оценка стоимости Nedra]]/(1+Список_проектов_для_оценки3[[#This Row],[Оценка сложности Nedra]])</f>
        <v>0.44444444444444442</v>
      </c>
      <c r="P98" s="65" t="s">
        <v>406</v>
      </c>
    </row>
    <row r="99" spans="1:29" ht="135" x14ac:dyDescent="0.15">
      <c r="A99" s="8" t="s">
        <v>149</v>
      </c>
      <c r="B99" s="6" t="s">
        <v>219</v>
      </c>
      <c r="C99" s="6" t="s">
        <v>220</v>
      </c>
      <c r="D99" s="6" t="s">
        <v>221</v>
      </c>
      <c r="E99" s="63" t="s">
        <v>215</v>
      </c>
      <c r="F99" s="27" t="str">
        <f t="shared" si="1"/>
        <v>Высокий</v>
      </c>
      <c r="G99" s="34">
        <v>10</v>
      </c>
      <c r="H99" s="14" t="s">
        <v>19</v>
      </c>
      <c r="I99" s="100">
        <v>10</v>
      </c>
      <c r="J99" s="61" t="s">
        <v>20</v>
      </c>
      <c r="K99" s="118" t="s">
        <v>457</v>
      </c>
      <c r="L99" s="88">
        <v>4</v>
      </c>
      <c r="M99" s="88">
        <v>4</v>
      </c>
      <c r="N99" s="91"/>
      <c r="O99" s="79">
        <f>Список_проектов_для_оценки3[[#This Row],[Оценка стоимости Nedra]]/(1+Список_проектов_для_оценки3[[#This Row],[Оценка сложности Nedra]])</f>
        <v>0.36363636363636365</v>
      </c>
      <c r="P99" s="64" t="s">
        <v>405</v>
      </c>
    </row>
    <row r="100" spans="1:29" ht="60" x14ac:dyDescent="0.15">
      <c r="A100" s="8" t="s">
        <v>149</v>
      </c>
      <c r="B100" s="6" t="s">
        <v>226</v>
      </c>
      <c r="C100" s="6" t="s">
        <v>227</v>
      </c>
      <c r="D100" s="6" t="s">
        <v>228</v>
      </c>
      <c r="E100" s="63" t="s">
        <v>225</v>
      </c>
      <c r="F100" s="27" t="str">
        <f t="shared" si="1"/>
        <v>Высокий</v>
      </c>
      <c r="G100" s="34">
        <v>10</v>
      </c>
      <c r="H100" s="14" t="s">
        <v>19</v>
      </c>
      <c r="I100" s="100">
        <v>9</v>
      </c>
      <c r="J100" s="61" t="s">
        <v>20</v>
      </c>
      <c r="K100" s="118" t="s">
        <v>455</v>
      </c>
      <c r="L100" s="88">
        <v>4</v>
      </c>
      <c r="M100" s="88">
        <v>4</v>
      </c>
      <c r="N100" s="91"/>
      <c r="O100" s="79">
        <f>Список_проектов_для_оценки3[[#This Row],[Оценка стоимости Nedra]]/(1+Список_проектов_для_оценки3[[#This Row],[Оценка сложности Nedra]])</f>
        <v>0.4</v>
      </c>
      <c r="P100" s="64" t="s">
        <v>405</v>
      </c>
    </row>
    <row r="101" spans="1:29" ht="90" x14ac:dyDescent="0.15">
      <c r="A101" s="62" t="s">
        <v>287</v>
      </c>
      <c r="B101" s="63" t="s">
        <v>293</v>
      </c>
      <c r="C101" s="63" t="s">
        <v>294</v>
      </c>
      <c r="D101" s="63" t="s">
        <v>295</v>
      </c>
      <c r="E101" s="63" t="s">
        <v>296</v>
      </c>
      <c r="F101" s="66" t="str">
        <f t="shared" si="1"/>
        <v>Высокий</v>
      </c>
      <c r="G101" s="34">
        <v>10</v>
      </c>
      <c r="H101" s="15" t="s">
        <v>19</v>
      </c>
      <c r="I101" s="101">
        <v>9</v>
      </c>
      <c r="J101" s="60" t="s">
        <v>20</v>
      </c>
      <c r="K101" s="115" t="s">
        <v>458</v>
      </c>
      <c r="L101" s="88">
        <v>4</v>
      </c>
      <c r="M101" s="88">
        <v>4</v>
      </c>
      <c r="N101" s="95"/>
      <c r="O101" s="80">
        <f>Список_проектов_для_оценки3[[#This Row],[Оценка стоимости Nedra]]/(1+Список_проектов_для_оценки3[[#This Row],[Оценка сложности Nedra]])</f>
        <v>0.4</v>
      </c>
      <c r="P101" s="64" t="s">
        <v>405</v>
      </c>
    </row>
    <row r="102" spans="1:29" ht="120" x14ac:dyDescent="0.15">
      <c r="A102" s="12" t="s">
        <v>297</v>
      </c>
      <c r="B102" s="6" t="s">
        <v>298</v>
      </c>
      <c r="C102" s="6" t="s">
        <v>299</v>
      </c>
      <c r="D102" s="6" t="s">
        <v>300</v>
      </c>
      <c r="E102" s="63" t="s">
        <v>301</v>
      </c>
      <c r="F102" s="27" t="str">
        <f t="shared" si="1"/>
        <v>Высокий</v>
      </c>
      <c r="G102" s="34">
        <v>10</v>
      </c>
      <c r="H102" s="14" t="s">
        <v>19</v>
      </c>
      <c r="I102" s="100">
        <v>9</v>
      </c>
      <c r="J102" s="61" t="s">
        <v>15</v>
      </c>
      <c r="K102" s="118" t="s">
        <v>459</v>
      </c>
      <c r="L102" s="88">
        <v>4</v>
      </c>
      <c r="M102" s="88">
        <v>4</v>
      </c>
      <c r="N102" s="91"/>
      <c r="O102" s="79">
        <f>Список_проектов_для_оценки3[[#This Row],[Оценка стоимости Nedra]]/(1+Список_проектов_для_оценки3[[#This Row],[Оценка сложности Nedra]])</f>
        <v>0.4</v>
      </c>
      <c r="P102" s="64" t="s">
        <v>405</v>
      </c>
    </row>
    <row r="103" spans="1:29" ht="105" x14ac:dyDescent="0.15">
      <c r="A103" s="12" t="s">
        <v>297</v>
      </c>
      <c r="B103" s="6" t="s">
        <v>302</v>
      </c>
      <c r="C103" s="6" t="s">
        <v>303</v>
      </c>
      <c r="D103" s="6" t="s">
        <v>304</v>
      </c>
      <c r="E103" s="63" t="s">
        <v>305</v>
      </c>
      <c r="F103" s="26" t="str">
        <f t="shared" si="1"/>
        <v>Высокий</v>
      </c>
      <c r="G103" s="34">
        <v>10</v>
      </c>
      <c r="H103" s="15" t="s">
        <v>19</v>
      </c>
      <c r="I103" s="100">
        <v>10</v>
      </c>
      <c r="J103" s="60" t="s">
        <v>20</v>
      </c>
      <c r="K103" s="115" t="s">
        <v>457</v>
      </c>
      <c r="L103" s="88">
        <v>4</v>
      </c>
      <c r="M103" s="88">
        <v>4</v>
      </c>
      <c r="N103" s="91"/>
      <c r="O103" s="80">
        <f>Список_проектов_для_оценки3[[#This Row],[Оценка стоимости Nedra]]/(1+Список_проектов_для_оценки3[[#This Row],[Оценка сложности Nedra]])</f>
        <v>0.36363636363636365</v>
      </c>
      <c r="P103" s="64" t="s">
        <v>405</v>
      </c>
    </row>
    <row r="104" spans="1:29" ht="75" x14ac:dyDescent="0.15">
      <c r="A104" s="12" t="s">
        <v>287</v>
      </c>
      <c r="B104" s="6" t="s">
        <v>306</v>
      </c>
      <c r="C104" s="6" t="s">
        <v>307</v>
      </c>
      <c r="D104" s="6" t="s">
        <v>308</v>
      </c>
      <c r="E104" s="63" t="s">
        <v>309</v>
      </c>
      <c r="F104" s="27" t="str">
        <f t="shared" si="1"/>
        <v>Высокий</v>
      </c>
      <c r="G104" s="34">
        <v>10</v>
      </c>
      <c r="H104" s="14" t="s">
        <v>19</v>
      </c>
      <c r="I104" s="101">
        <v>8</v>
      </c>
      <c r="J104" s="61" t="s">
        <v>20</v>
      </c>
      <c r="K104" s="119" t="s">
        <v>451</v>
      </c>
      <c r="L104" s="88">
        <v>4</v>
      </c>
      <c r="M104" s="89">
        <v>4</v>
      </c>
      <c r="N104" s="91"/>
      <c r="O104" s="79">
        <f>Список_проектов_для_оценки3[[#This Row],[Оценка стоимости Nedra]]/(1+Список_проектов_для_оценки3[[#This Row],[Оценка сложности Nedra]])</f>
        <v>0.44444444444444442</v>
      </c>
      <c r="P104" s="64" t="s">
        <v>405</v>
      </c>
    </row>
    <row r="105" spans="1:29" ht="75" x14ac:dyDescent="0.15">
      <c r="A105" s="12" t="s">
        <v>287</v>
      </c>
      <c r="B105" s="6" t="s">
        <v>318</v>
      </c>
      <c r="C105" s="6" t="s">
        <v>319</v>
      </c>
      <c r="D105" s="6" t="s">
        <v>320</v>
      </c>
      <c r="E105" s="63" t="s">
        <v>321</v>
      </c>
      <c r="F105" s="26" t="str">
        <f t="shared" si="1"/>
        <v>Высокий</v>
      </c>
      <c r="G105" s="34">
        <v>10</v>
      </c>
      <c r="H105" s="15" t="s">
        <v>19</v>
      </c>
      <c r="I105" s="101">
        <v>10</v>
      </c>
      <c r="J105" s="60" t="s">
        <v>20</v>
      </c>
      <c r="K105" s="122" t="s">
        <v>460</v>
      </c>
      <c r="L105" s="88">
        <v>4</v>
      </c>
      <c r="M105" s="89">
        <v>4</v>
      </c>
      <c r="N105" s="91"/>
      <c r="O105" s="80">
        <f>Список_проектов_для_оценки3[[#This Row],[Оценка стоимости Nedra]]/(1+Список_проектов_для_оценки3[[#This Row],[Оценка сложности Nedra]])</f>
        <v>0.36363636363636365</v>
      </c>
      <c r="P105" s="64" t="s">
        <v>405</v>
      </c>
    </row>
    <row r="106" spans="1:29" ht="120" x14ac:dyDescent="0.15">
      <c r="A106" s="22" t="s">
        <v>326</v>
      </c>
      <c r="B106" s="6" t="s">
        <v>365</v>
      </c>
      <c r="C106" s="6" t="s">
        <v>384</v>
      </c>
      <c r="D106" s="6" t="s">
        <v>347</v>
      </c>
      <c r="E106" s="63" t="s">
        <v>346</v>
      </c>
      <c r="F106" s="26" t="str">
        <f t="shared" si="1"/>
        <v>Высокий</v>
      </c>
      <c r="G106" s="34">
        <v>10</v>
      </c>
      <c r="H106" s="15" t="s">
        <v>19</v>
      </c>
      <c r="I106" s="100">
        <v>8</v>
      </c>
      <c r="J106" s="60" t="s">
        <v>20</v>
      </c>
      <c r="K106" s="115" t="s">
        <v>451</v>
      </c>
      <c r="L106" s="88">
        <v>4</v>
      </c>
      <c r="M106" s="88">
        <v>4</v>
      </c>
      <c r="N106" s="91" t="s">
        <v>409</v>
      </c>
      <c r="O106" s="80">
        <f>Список_проектов_для_оценки3[[#This Row],[Оценка стоимости Nedra]]/(1+Список_проектов_для_оценки3[[#This Row],[Оценка сложности Nedra]])</f>
        <v>0.44444444444444442</v>
      </c>
      <c r="P106" s="64" t="s">
        <v>405</v>
      </c>
    </row>
    <row r="107" spans="1:29" ht="90" x14ac:dyDescent="0.15">
      <c r="A107" s="22" t="s">
        <v>326</v>
      </c>
      <c r="B107" s="6" t="s">
        <v>367</v>
      </c>
      <c r="C107" s="6" t="s">
        <v>386</v>
      </c>
      <c r="D107" s="6" t="s">
        <v>403</v>
      </c>
      <c r="E107" s="63" t="s">
        <v>346</v>
      </c>
      <c r="F107" s="26" t="str">
        <f t="shared" si="1"/>
        <v>Высокий</v>
      </c>
      <c r="G107" s="34">
        <v>10</v>
      </c>
      <c r="H107" s="15" t="s">
        <v>19</v>
      </c>
      <c r="I107" s="101">
        <v>8</v>
      </c>
      <c r="J107" s="60" t="s">
        <v>20</v>
      </c>
      <c r="K107" s="122" t="s">
        <v>449</v>
      </c>
      <c r="L107" s="88">
        <v>4</v>
      </c>
      <c r="M107" s="89">
        <v>4</v>
      </c>
      <c r="N107" s="91" t="s">
        <v>411</v>
      </c>
      <c r="O107" s="80">
        <f>Список_проектов_для_оценки3[[#This Row],[Оценка стоимости Nedra]]/(1+Список_проектов_для_оценки3[[#This Row],[Оценка сложности Nedra]])</f>
        <v>0.44444444444444442</v>
      </c>
      <c r="P107" s="64" t="s">
        <v>405</v>
      </c>
    </row>
    <row r="108" spans="1:29" ht="75" x14ac:dyDescent="0.15">
      <c r="A108" s="22" t="s">
        <v>326</v>
      </c>
      <c r="B108" s="6" t="s">
        <v>368</v>
      </c>
      <c r="C108" s="6" t="s">
        <v>387</v>
      </c>
      <c r="D108" s="6" t="s">
        <v>349</v>
      </c>
      <c r="E108" s="63" t="s">
        <v>346</v>
      </c>
      <c r="F108" s="26" t="str">
        <f t="shared" si="1"/>
        <v>Высокий</v>
      </c>
      <c r="G108" s="34">
        <v>10</v>
      </c>
      <c r="H108" s="15" t="s">
        <v>19</v>
      </c>
      <c r="I108" s="101">
        <v>8</v>
      </c>
      <c r="J108" s="60" t="s">
        <v>20</v>
      </c>
      <c r="K108" s="122" t="s">
        <v>451</v>
      </c>
      <c r="L108" s="88">
        <v>4</v>
      </c>
      <c r="M108" s="89">
        <v>4</v>
      </c>
      <c r="N108" s="91" t="s">
        <v>412</v>
      </c>
      <c r="O108" s="80">
        <f>Список_проектов_для_оценки3[[#This Row],[Оценка стоимости Nedra]]/(1+Список_проектов_для_оценки3[[#This Row],[Оценка сложности Nedra]])</f>
        <v>0.44444444444444442</v>
      </c>
      <c r="P108" s="64" t="s">
        <v>405</v>
      </c>
    </row>
    <row r="109" spans="1:29" ht="90" x14ac:dyDescent="0.15">
      <c r="A109" s="22" t="s">
        <v>326</v>
      </c>
      <c r="B109" s="6" t="s">
        <v>376</v>
      </c>
      <c r="C109" s="6" t="s">
        <v>395</v>
      </c>
      <c r="D109" s="6" t="s">
        <v>357</v>
      </c>
      <c r="E109" s="63" t="s">
        <v>346</v>
      </c>
      <c r="F109" s="26" t="str">
        <f t="shared" si="1"/>
        <v>Высокий</v>
      </c>
      <c r="G109" s="34">
        <v>10</v>
      </c>
      <c r="H109" s="15" t="s">
        <v>19</v>
      </c>
      <c r="I109" s="100">
        <v>8</v>
      </c>
      <c r="J109" s="60" t="s">
        <v>20</v>
      </c>
      <c r="K109" s="115" t="s">
        <v>449</v>
      </c>
      <c r="L109" s="88">
        <v>4</v>
      </c>
      <c r="M109" s="88">
        <v>4</v>
      </c>
      <c r="N109" s="91" t="s">
        <v>419</v>
      </c>
      <c r="O109" s="80">
        <f>Список_проектов_для_оценки3[[#This Row],[Оценка стоимости Nedra]]/(1+Список_проектов_для_оценки3[[#This Row],[Оценка сложности Nedra]])</f>
        <v>0.44444444444444442</v>
      </c>
      <c r="P109" s="64" t="s">
        <v>405</v>
      </c>
    </row>
    <row r="110" spans="1:29" ht="90" x14ac:dyDescent="0.15">
      <c r="A110" s="22" t="s">
        <v>326</v>
      </c>
      <c r="B110" s="6" t="s">
        <v>377</v>
      </c>
      <c r="C110" s="6" t="s">
        <v>396</v>
      </c>
      <c r="D110" s="6" t="s">
        <v>358</v>
      </c>
      <c r="E110" s="63" t="s">
        <v>346</v>
      </c>
      <c r="F110" s="26" t="str">
        <f t="shared" si="1"/>
        <v>Высокий</v>
      </c>
      <c r="G110" s="34">
        <v>10</v>
      </c>
      <c r="H110" s="15" t="s">
        <v>19</v>
      </c>
      <c r="I110" s="101">
        <v>9</v>
      </c>
      <c r="J110" s="60" t="s">
        <v>20</v>
      </c>
      <c r="K110" s="122" t="s">
        <v>458</v>
      </c>
      <c r="L110" s="88">
        <v>4</v>
      </c>
      <c r="M110" s="89">
        <v>4</v>
      </c>
      <c r="N110" s="91" t="s">
        <v>420</v>
      </c>
      <c r="O110" s="80">
        <f>Список_проектов_для_оценки3[[#This Row],[Оценка стоимости Nedra]]/(1+Список_проектов_для_оценки3[[#This Row],[Оценка сложности Nedra]])</f>
        <v>0.4</v>
      </c>
      <c r="P110" s="64" t="s">
        <v>405</v>
      </c>
    </row>
    <row r="111" spans="1:29" ht="75" x14ac:dyDescent="0.15">
      <c r="A111" s="22" t="s">
        <v>326</v>
      </c>
      <c r="B111" s="6" t="s">
        <v>382</v>
      </c>
      <c r="C111" s="6" t="s">
        <v>401</v>
      </c>
      <c r="D111" s="6" t="s">
        <v>363</v>
      </c>
      <c r="E111" s="63" t="s">
        <v>346</v>
      </c>
      <c r="F111" s="26" t="str">
        <f t="shared" si="1"/>
        <v>Высокий</v>
      </c>
      <c r="G111" s="34">
        <v>10</v>
      </c>
      <c r="H111" s="15" t="s">
        <v>19</v>
      </c>
      <c r="I111" s="100">
        <v>8</v>
      </c>
      <c r="J111" s="60" t="s">
        <v>20</v>
      </c>
      <c r="K111" s="115" t="s">
        <v>461</v>
      </c>
      <c r="L111" s="88">
        <v>4</v>
      </c>
      <c r="M111" s="88">
        <v>4</v>
      </c>
      <c r="N111" s="91" t="s">
        <v>423</v>
      </c>
      <c r="O111" s="80">
        <f>Список_проектов_для_оценки3[[#This Row],[Оценка стоимости Nedra]]/(1+Список_проектов_для_оценки3[[#This Row],[Оценка сложности Nedra]])</f>
        <v>0.44444444444444442</v>
      </c>
      <c r="P111" s="64" t="s">
        <v>405</v>
      </c>
    </row>
    <row r="112" spans="1:29" s="23" customFormat="1" ht="16.5" customHeight="1" x14ac:dyDescent="0.15">
      <c r="A112" s="123"/>
      <c r="B112" s="123"/>
      <c r="C112" s="123"/>
      <c r="D112" s="123"/>
      <c r="E112" s="123"/>
      <c r="F112" s="124" t="str">
        <f>IF(H112="🔴","Высокий",IF(H112="🟡","Средний",IF(H112="🟢","Низкий","")))</f>
        <v/>
      </c>
      <c r="G112" s="125"/>
      <c r="H112" s="68"/>
      <c r="I112" s="126"/>
      <c r="J112" s="124"/>
      <c r="K112" s="122"/>
      <c r="L112" s="128"/>
      <c r="M112" s="1"/>
      <c r="N112" s="6"/>
      <c r="O112" s="127">
        <f>Список_проектов_для_оценки3[[#This Row],[Оценка стоимости Nedra]]/(1+Список_проектов_для_оценки3[[#This Row],[Оценка сложности Nedra]])</f>
        <v>0</v>
      </c>
      <c r="P112" s="1"/>
      <c r="Q112" s="1"/>
      <c r="R112" s="1"/>
      <c r="S112" s="1"/>
      <c r="T112" s="1"/>
      <c r="U112" s="1"/>
      <c r="V112" s="1"/>
      <c r="W112" s="1"/>
      <c r="X112" s="1"/>
      <c r="Y112" s="1"/>
      <c r="Z112" s="1"/>
      <c r="AA112" s="1"/>
      <c r="AB112" s="1"/>
      <c r="AC112" s="1"/>
    </row>
    <row r="113" spans="1:29" s="23" customFormat="1" ht="16.5" customHeight="1" x14ac:dyDescent="0.15">
      <c r="A113" s="2"/>
      <c r="B113" s="2"/>
      <c r="C113" s="2"/>
      <c r="D113" s="2"/>
      <c r="E113" s="2"/>
      <c r="H113" s="1"/>
      <c r="I113" s="96"/>
      <c r="M113" s="1"/>
      <c r="N113" s="1"/>
      <c r="O113" s="1"/>
      <c r="P113" s="1"/>
      <c r="Q113" s="1"/>
      <c r="R113" s="1"/>
      <c r="S113" s="1"/>
      <c r="T113" s="1"/>
      <c r="U113" s="1"/>
      <c r="V113" s="1"/>
      <c r="W113" s="1"/>
      <c r="X113" s="1"/>
      <c r="Y113" s="1"/>
      <c r="Z113" s="1"/>
      <c r="AA113" s="1"/>
      <c r="AB113" s="1"/>
      <c r="AC113" s="1"/>
    </row>
    <row r="114" spans="1:29" s="23" customFormat="1" ht="16.5" customHeight="1" x14ac:dyDescent="0.15">
      <c r="A114" s="2"/>
      <c r="B114" s="2"/>
      <c r="C114" s="2"/>
      <c r="D114" s="2"/>
      <c r="E114" s="2"/>
      <c r="H114" s="1"/>
      <c r="I114" s="96"/>
      <c r="M114" s="1"/>
      <c r="N114" s="1"/>
      <c r="O114" s="1"/>
      <c r="P114" s="1"/>
      <c r="Q114" s="1"/>
      <c r="R114" s="1"/>
      <c r="S114" s="1"/>
      <c r="T114" s="1"/>
      <c r="U114" s="1"/>
      <c r="V114" s="1"/>
      <c r="W114" s="1"/>
      <c r="X114" s="1"/>
      <c r="Y114" s="1"/>
      <c r="Z114" s="1"/>
      <c r="AA114" s="1"/>
      <c r="AB114" s="1"/>
      <c r="AC114" s="1"/>
    </row>
    <row r="115" spans="1:29" s="23" customFormat="1" ht="16.5" customHeight="1" x14ac:dyDescent="0.15">
      <c r="A115" s="2"/>
      <c r="B115" s="2"/>
      <c r="C115" s="2"/>
      <c r="D115" s="2"/>
      <c r="E115" s="2"/>
      <c r="H115" s="1"/>
      <c r="I115" s="96"/>
      <c r="M115" s="1"/>
      <c r="N115" s="1"/>
      <c r="O115" s="1"/>
      <c r="P115" s="1"/>
      <c r="Q115" s="1"/>
      <c r="R115" s="1"/>
      <c r="S115" s="1"/>
      <c r="T115" s="1"/>
      <c r="U115" s="1"/>
      <c r="V115" s="1"/>
      <c r="W115" s="1"/>
      <c r="X115" s="1"/>
      <c r="Y115" s="1"/>
      <c r="Z115" s="1"/>
      <c r="AA115" s="1"/>
      <c r="AB115" s="1"/>
      <c r="AC115" s="1"/>
    </row>
    <row r="116" spans="1:29" s="23" customFormat="1" ht="16.5" customHeight="1" x14ac:dyDescent="0.15">
      <c r="A116" s="2"/>
      <c r="B116" s="2"/>
      <c r="C116" s="2"/>
      <c r="D116" s="2"/>
      <c r="E116" s="2"/>
      <c r="H116" s="1"/>
      <c r="I116" s="96"/>
      <c r="M116" s="1"/>
      <c r="N116" s="1"/>
      <c r="O116" s="1"/>
      <c r="P116" s="1"/>
      <c r="Q116" s="1"/>
      <c r="R116" s="1"/>
      <c r="S116" s="1"/>
      <c r="T116" s="1"/>
      <c r="U116" s="1"/>
      <c r="V116" s="1"/>
      <c r="W116" s="1"/>
      <c r="X116" s="1"/>
      <c r="Y116" s="1"/>
      <c r="Z116" s="1"/>
      <c r="AA116" s="1"/>
      <c r="AB116" s="1"/>
      <c r="AC116" s="1"/>
    </row>
    <row r="117" spans="1:29" s="23" customFormat="1" ht="16.5" customHeight="1" x14ac:dyDescent="0.15">
      <c r="A117" s="2"/>
      <c r="B117" s="2"/>
      <c r="C117" s="2"/>
      <c r="D117" s="2"/>
      <c r="E117" s="2"/>
      <c r="H117" s="1"/>
      <c r="I117" s="96"/>
      <c r="M117" s="1"/>
      <c r="N117" s="1"/>
      <c r="O117" s="1"/>
      <c r="P117" s="1"/>
      <c r="Q117" s="1"/>
      <c r="R117" s="1"/>
      <c r="S117" s="1"/>
      <c r="T117" s="1"/>
      <c r="U117" s="1"/>
      <c r="V117" s="1"/>
      <c r="W117" s="1"/>
      <c r="X117" s="1"/>
      <c r="Y117" s="1"/>
      <c r="Z117" s="1"/>
      <c r="AA117" s="1"/>
      <c r="AB117" s="1"/>
      <c r="AC117" s="1"/>
    </row>
    <row r="118" spans="1:29" s="23" customFormat="1" ht="16.5" customHeight="1" x14ac:dyDescent="0.15">
      <c r="A118" s="2"/>
      <c r="B118" s="2"/>
      <c r="C118" s="2"/>
      <c r="D118" s="2"/>
      <c r="E118" s="2"/>
      <c r="H118" s="1"/>
      <c r="I118" s="96"/>
      <c r="M118" s="1"/>
      <c r="N118" s="1"/>
      <c r="O118" s="1"/>
      <c r="P118" s="1"/>
      <c r="Q118" s="1"/>
      <c r="R118" s="1"/>
      <c r="S118" s="1"/>
      <c r="T118" s="1"/>
      <c r="U118" s="1"/>
      <c r="V118" s="1"/>
      <c r="W118" s="1"/>
      <c r="X118" s="1"/>
      <c r="Y118" s="1"/>
      <c r="Z118" s="1"/>
      <c r="AA118" s="1"/>
      <c r="AB118" s="1"/>
      <c r="AC118" s="1"/>
    </row>
    <row r="119" spans="1:29" s="23" customFormat="1" ht="16.5" customHeight="1" x14ac:dyDescent="0.15">
      <c r="A119" s="2"/>
      <c r="B119" s="2"/>
      <c r="C119" s="2"/>
      <c r="D119" s="2"/>
      <c r="E119" s="2"/>
      <c r="H119" s="1"/>
      <c r="I119" s="96"/>
      <c r="M119" s="1"/>
      <c r="N119" s="1"/>
      <c r="O119" s="1"/>
      <c r="P119" s="1"/>
      <c r="Q119" s="1"/>
      <c r="R119" s="1"/>
      <c r="S119" s="1"/>
      <c r="T119" s="1"/>
      <c r="U119" s="1"/>
      <c r="V119" s="1"/>
      <c r="W119" s="1"/>
      <c r="X119" s="1"/>
      <c r="Y119" s="1"/>
      <c r="Z119" s="1"/>
      <c r="AA119" s="1"/>
      <c r="AB119" s="1"/>
      <c r="AC119" s="1"/>
    </row>
    <row r="120" spans="1:29" s="23" customFormat="1" ht="16.5" customHeight="1" x14ac:dyDescent="0.15">
      <c r="A120" s="2"/>
      <c r="B120" s="2"/>
      <c r="C120" s="2"/>
      <c r="D120" s="2"/>
      <c r="E120" s="2"/>
      <c r="H120" s="1"/>
      <c r="I120" s="96"/>
      <c r="M120" s="1"/>
      <c r="N120" s="1"/>
      <c r="O120" s="1"/>
      <c r="P120" s="1"/>
      <c r="Q120" s="1"/>
      <c r="R120" s="1"/>
      <c r="S120" s="1"/>
      <c r="T120" s="1"/>
      <c r="U120" s="1"/>
      <c r="V120" s="1"/>
      <c r="W120" s="1"/>
      <c r="X120" s="1"/>
      <c r="Y120" s="1"/>
      <c r="Z120" s="1"/>
      <c r="AA120" s="1"/>
      <c r="AB120" s="1"/>
      <c r="AC120" s="1"/>
    </row>
    <row r="121" spans="1:29" s="23" customFormat="1" ht="16.5" customHeight="1" x14ac:dyDescent="0.15">
      <c r="A121" s="2"/>
      <c r="B121" s="2"/>
      <c r="C121" s="2"/>
      <c r="D121" s="2"/>
      <c r="E121" s="2"/>
      <c r="H121" s="1"/>
      <c r="I121" s="96"/>
      <c r="M121" s="1"/>
      <c r="N121" s="1"/>
      <c r="O121" s="1"/>
      <c r="P121" s="1"/>
      <c r="Q121" s="1"/>
      <c r="R121" s="1"/>
      <c r="S121" s="1"/>
      <c r="T121" s="1"/>
      <c r="U121" s="1"/>
      <c r="V121" s="1"/>
      <c r="W121" s="1"/>
      <c r="X121" s="1"/>
      <c r="Y121" s="1"/>
      <c r="Z121" s="1"/>
      <c r="AA121" s="1"/>
      <c r="AB121" s="1"/>
      <c r="AC121" s="1"/>
    </row>
    <row r="122" spans="1:29" s="23" customFormat="1" ht="16.5" customHeight="1" x14ac:dyDescent="0.15">
      <c r="A122" s="2"/>
      <c r="B122" s="2"/>
      <c r="C122" s="2"/>
      <c r="D122" s="2"/>
      <c r="E122" s="2"/>
      <c r="H122" s="1"/>
      <c r="I122" s="96"/>
      <c r="M122" s="1"/>
      <c r="N122" s="1"/>
      <c r="O122" s="1"/>
      <c r="P122" s="1"/>
      <c r="Q122" s="1"/>
      <c r="R122" s="1"/>
      <c r="S122" s="1"/>
      <c r="T122" s="1"/>
      <c r="U122" s="1"/>
      <c r="V122" s="1"/>
      <c r="W122" s="1"/>
      <c r="X122" s="1"/>
      <c r="Y122" s="1"/>
      <c r="Z122" s="1"/>
      <c r="AA122" s="1"/>
      <c r="AB122" s="1"/>
      <c r="AC122" s="1"/>
    </row>
    <row r="123" spans="1:29" s="23" customFormat="1" ht="16.5" customHeight="1" x14ac:dyDescent="0.15">
      <c r="A123" s="2"/>
      <c r="B123" s="2"/>
      <c r="C123" s="2"/>
      <c r="D123" s="2"/>
      <c r="E123" s="2"/>
      <c r="H123" s="1"/>
      <c r="I123" s="96"/>
      <c r="M123" s="1"/>
      <c r="N123" s="1"/>
      <c r="O123" s="1"/>
      <c r="P123" s="1"/>
      <c r="Q123" s="1"/>
      <c r="R123" s="1"/>
      <c r="S123" s="1"/>
      <c r="T123" s="1"/>
      <c r="U123" s="1"/>
      <c r="V123" s="1"/>
      <c r="W123" s="1"/>
      <c r="X123" s="1"/>
      <c r="Y123" s="1"/>
      <c r="Z123" s="1"/>
      <c r="AA123" s="1"/>
      <c r="AB123" s="1"/>
      <c r="AC123" s="1"/>
    </row>
    <row r="124" spans="1:29" s="23" customFormat="1" ht="16.5" customHeight="1" x14ac:dyDescent="0.15">
      <c r="A124" s="2"/>
      <c r="B124" s="2"/>
      <c r="C124" s="2"/>
      <c r="D124" s="2"/>
      <c r="E124" s="2"/>
      <c r="H124" s="1"/>
      <c r="I124" s="96"/>
      <c r="M124" s="1"/>
      <c r="N124" s="1"/>
      <c r="O124" s="1"/>
      <c r="P124" s="1"/>
      <c r="Q124" s="1"/>
      <c r="R124" s="1"/>
      <c r="S124" s="1"/>
      <c r="T124" s="1"/>
      <c r="U124" s="1"/>
      <c r="V124" s="1"/>
      <c r="W124" s="1"/>
      <c r="X124" s="1"/>
      <c r="Y124" s="1"/>
      <c r="Z124" s="1"/>
      <c r="AA124" s="1"/>
      <c r="AB124" s="1"/>
      <c r="AC124" s="1"/>
    </row>
    <row r="125" spans="1:29" s="23" customFormat="1" ht="16.5" customHeight="1" x14ac:dyDescent="0.15">
      <c r="A125" s="2"/>
      <c r="B125" s="2"/>
      <c r="C125" s="2"/>
      <c r="D125" s="2"/>
      <c r="E125" s="2"/>
      <c r="H125" s="1"/>
      <c r="I125" s="96"/>
      <c r="M125" s="1"/>
      <c r="N125" s="1"/>
      <c r="O125" s="1"/>
      <c r="P125" s="1"/>
      <c r="Q125" s="1"/>
      <c r="R125" s="1"/>
      <c r="S125" s="1"/>
      <c r="T125" s="1"/>
      <c r="U125" s="1"/>
      <c r="V125" s="1"/>
      <c r="W125" s="1"/>
      <c r="X125" s="1"/>
      <c r="Y125" s="1"/>
      <c r="Z125" s="1"/>
      <c r="AA125" s="1"/>
      <c r="AB125" s="1"/>
      <c r="AC125" s="1"/>
    </row>
    <row r="126" spans="1:29" s="23" customFormat="1" ht="16.5" customHeight="1" x14ac:dyDescent="0.15">
      <c r="A126" s="2"/>
      <c r="B126" s="2"/>
      <c r="C126" s="2"/>
      <c r="D126" s="2"/>
      <c r="E126" s="2"/>
      <c r="H126" s="1"/>
      <c r="I126" s="96"/>
      <c r="M126" s="1"/>
      <c r="N126" s="1"/>
      <c r="O126" s="1"/>
      <c r="P126" s="1"/>
      <c r="Q126" s="1"/>
      <c r="R126" s="1"/>
      <c r="S126" s="1"/>
      <c r="T126" s="1"/>
      <c r="U126" s="1"/>
      <c r="V126" s="1"/>
      <c r="W126" s="1"/>
      <c r="X126" s="1"/>
      <c r="Y126" s="1"/>
      <c r="Z126" s="1"/>
      <c r="AA126" s="1"/>
      <c r="AB126" s="1"/>
      <c r="AC126" s="1"/>
    </row>
    <row r="127" spans="1:29" s="23" customFormat="1" ht="16.5" customHeight="1" x14ac:dyDescent="0.15">
      <c r="A127" s="2"/>
      <c r="B127" s="2"/>
      <c r="C127" s="2"/>
      <c r="D127" s="2"/>
      <c r="E127" s="2"/>
      <c r="H127" s="1"/>
      <c r="I127" s="96"/>
      <c r="M127" s="1"/>
      <c r="N127" s="1"/>
      <c r="O127" s="1"/>
      <c r="P127" s="1"/>
      <c r="Q127" s="1"/>
      <c r="R127" s="1"/>
      <c r="S127" s="1"/>
      <c r="T127" s="1"/>
      <c r="U127" s="1"/>
      <c r="V127" s="1"/>
      <c r="W127" s="1"/>
      <c r="X127" s="1"/>
      <c r="Y127" s="1"/>
      <c r="Z127" s="1"/>
      <c r="AA127" s="1"/>
      <c r="AB127" s="1"/>
      <c r="AC127" s="1"/>
    </row>
    <row r="128" spans="1:29" s="23" customFormat="1" ht="16.5" customHeight="1" x14ac:dyDescent="0.15">
      <c r="A128" s="2"/>
      <c r="B128" s="2"/>
      <c r="C128" s="2"/>
      <c r="D128" s="2"/>
      <c r="E128" s="2"/>
      <c r="H128" s="1"/>
      <c r="I128" s="96"/>
      <c r="M128" s="1"/>
      <c r="N128" s="1"/>
      <c r="O128" s="1"/>
      <c r="P128" s="1"/>
      <c r="Q128" s="1"/>
      <c r="R128" s="1"/>
      <c r="S128" s="1"/>
      <c r="T128" s="1"/>
      <c r="U128" s="1"/>
      <c r="V128" s="1"/>
      <c r="W128" s="1"/>
      <c r="X128" s="1"/>
      <c r="Y128" s="1"/>
      <c r="Z128" s="1"/>
      <c r="AA128" s="1"/>
      <c r="AB128" s="1"/>
      <c r="AC128" s="1"/>
    </row>
    <row r="129" spans="1:29" s="23" customFormat="1" ht="16.5" customHeight="1" x14ac:dyDescent="0.15">
      <c r="A129" s="2"/>
      <c r="B129" s="2"/>
      <c r="C129" s="2"/>
      <c r="D129" s="2"/>
      <c r="E129" s="2"/>
      <c r="H129" s="1"/>
      <c r="I129" s="96"/>
      <c r="M129" s="1"/>
      <c r="N129" s="1"/>
      <c r="O129" s="1"/>
      <c r="P129" s="1"/>
      <c r="Q129" s="1"/>
      <c r="R129" s="1"/>
      <c r="S129" s="1"/>
      <c r="T129" s="1"/>
      <c r="U129" s="1"/>
      <c r="V129" s="1"/>
      <c r="W129" s="1"/>
      <c r="X129" s="1"/>
      <c r="Y129" s="1"/>
      <c r="Z129" s="1"/>
      <c r="AA129" s="1"/>
      <c r="AB129" s="1"/>
      <c r="AC129" s="1"/>
    </row>
    <row r="130" spans="1:29" s="23" customFormat="1" ht="16.5" customHeight="1" x14ac:dyDescent="0.15">
      <c r="A130" s="2"/>
      <c r="B130" s="2"/>
      <c r="C130" s="2"/>
      <c r="D130" s="2"/>
      <c r="E130" s="2"/>
      <c r="H130" s="1"/>
      <c r="I130" s="96"/>
      <c r="M130" s="1"/>
      <c r="N130" s="1"/>
      <c r="O130" s="1"/>
      <c r="P130" s="1"/>
      <c r="Q130" s="1"/>
      <c r="R130" s="1"/>
      <c r="S130" s="1"/>
      <c r="T130" s="1"/>
      <c r="U130" s="1"/>
      <c r="V130" s="1"/>
      <c r="W130" s="1"/>
      <c r="X130" s="1"/>
      <c r="Y130" s="1"/>
      <c r="Z130" s="1"/>
      <c r="AA130" s="1"/>
      <c r="AB130" s="1"/>
      <c r="AC130" s="1"/>
    </row>
    <row r="131" spans="1:29" s="23" customFormat="1" ht="16.5" customHeight="1" x14ac:dyDescent="0.15">
      <c r="A131" s="2"/>
      <c r="B131" s="2"/>
      <c r="C131" s="2"/>
      <c r="D131" s="2"/>
      <c r="E131" s="2"/>
      <c r="H131" s="1"/>
      <c r="I131" s="96"/>
      <c r="M131" s="1"/>
      <c r="N131" s="1"/>
      <c r="O131" s="1"/>
      <c r="P131" s="1"/>
      <c r="Q131" s="1"/>
      <c r="R131" s="1"/>
      <c r="S131" s="1"/>
      <c r="T131" s="1"/>
      <c r="U131" s="1"/>
      <c r="V131" s="1"/>
      <c r="W131" s="1"/>
      <c r="X131" s="1"/>
      <c r="Y131" s="1"/>
      <c r="Z131" s="1"/>
      <c r="AA131" s="1"/>
      <c r="AB131" s="1"/>
      <c r="AC131" s="1"/>
    </row>
    <row r="132" spans="1:29" s="23" customFormat="1" ht="16.5" customHeight="1" x14ac:dyDescent="0.15">
      <c r="A132" s="2"/>
      <c r="B132" s="2"/>
      <c r="C132" s="2"/>
      <c r="D132" s="2"/>
      <c r="E132" s="2"/>
      <c r="H132" s="1"/>
      <c r="I132" s="96"/>
      <c r="M132" s="1"/>
      <c r="N132" s="1"/>
      <c r="O132" s="1"/>
      <c r="P132" s="1"/>
      <c r="Q132" s="1"/>
      <c r="R132" s="1"/>
      <c r="S132" s="1"/>
      <c r="T132" s="1"/>
      <c r="U132" s="1"/>
      <c r="V132" s="1"/>
      <c r="W132" s="1"/>
      <c r="X132" s="1"/>
      <c r="Y132" s="1"/>
      <c r="Z132" s="1"/>
      <c r="AA132" s="1"/>
      <c r="AB132" s="1"/>
      <c r="AC132" s="1"/>
    </row>
    <row r="133" spans="1:29" s="23" customFormat="1" ht="16.5" customHeight="1" x14ac:dyDescent="0.15">
      <c r="A133" s="2"/>
      <c r="B133" s="2"/>
      <c r="C133" s="2"/>
      <c r="D133" s="2"/>
      <c r="E133" s="2"/>
      <c r="H133" s="1"/>
      <c r="I133" s="96"/>
      <c r="M133" s="1"/>
      <c r="N133" s="1"/>
      <c r="O133" s="1"/>
      <c r="P133" s="1"/>
      <c r="Q133" s="1"/>
      <c r="R133" s="1"/>
      <c r="S133" s="1"/>
      <c r="T133" s="1"/>
      <c r="U133" s="1"/>
      <c r="V133" s="1"/>
      <c r="W133" s="1"/>
      <c r="X133" s="1"/>
      <c r="Y133" s="1"/>
      <c r="Z133" s="1"/>
      <c r="AA133" s="1"/>
      <c r="AB133" s="1"/>
      <c r="AC133" s="1"/>
    </row>
    <row r="134" spans="1:29" s="23" customFormat="1" ht="16.5" customHeight="1" x14ac:dyDescent="0.15">
      <c r="A134" s="2"/>
      <c r="B134" s="2"/>
      <c r="C134" s="2"/>
      <c r="D134" s="2"/>
      <c r="E134" s="2"/>
      <c r="H134" s="1"/>
      <c r="I134" s="96"/>
      <c r="M134" s="1"/>
      <c r="N134" s="1"/>
      <c r="O134" s="1"/>
      <c r="P134" s="1"/>
      <c r="Q134" s="1"/>
      <c r="R134" s="1"/>
      <c r="S134" s="1"/>
      <c r="T134" s="1"/>
      <c r="U134" s="1"/>
      <c r="V134" s="1"/>
      <c r="W134" s="1"/>
      <c r="X134" s="1"/>
      <c r="Y134" s="1"/>
      <c r="Z134" s="1"/>
      <c r="AA134" s="1"/>
      <c r="AB134" s="1"/>
      <c r="AC134" s="1"/>
    </row>
    <row r="135" spans="1:29" s="23" customFormat="1" ht="16.5" customHeight="1" x14ac:dyDescent="0.15">
      <c r="A135" s="2"/>
      <c r="B135" s="2"/>
      <c r="C135" s="2"/>
      <c r="D135" s="2"/>
      <c r="E135" s="2"/>
      <c r="H135" s="1"/>
      <c r="I135" s="96"/>
      <c r="M135" s="1"/>
      <c r="N135" s="1"/>
      <c r="O135" s="1"/>
      <c r="P135" s="1"/>
      <c r="Q135" s="1"/>
      <c r="R135" s="1"/>
      <c r="S135" s="1"/>
      <c r="T135" s="1"/>
      <c r="U135" s="1"/>
      <c r="V135" s="1"/>
      <c r="W135" s="1"/>
      <c r="X135" s="1"/>
      <c r="Y135" s="1"/>
      <c r="Z135" s="1"/>
      <c r="AA135" s="1"/>
      <c r="AB135" s="1"/>
      <c r="AC135" s="1"/>
    </row>
    <row r="136" spans="1:29" s="23" customFormat="1" ht="16.5" customHeight="1" x14ac:dyDescent="0.15">
      <c r="A136" s="2"/>
      <c r="B136" s="2"/>
      <c r="C136" s="2"/>
      <c r="D136" s="2"/>
      <c r="E136" s="2"/>
      <c r="H136" s="1"/>
      <c r="I136" s="96"/>
      <c r="M136" s="1"/>
      <c r="N136" s="1"/>
      <c r="O136" s="1"/>
      <c r="P136" s="1"/>
      <c r="Q136" s="1"/>
      <c r="R136" s="1"/>
      <c r="S136" s="1"/>
      <c r="T136" s="1"/>
      <c r="U136" s="1"/>
      <c r="V136" s="1"/>
      <c r="W136" s="1"/>
      <c r="X136" s="1"/>
      <c r="Y136" s="1"/>
      <c r="Z136" s="1"/>
      <c r="AA136" s="1"/>
      <c r="AB136" s="1"/>
      <c r="AC136" s="1"/>
    </row>
    <row r="137" spans="1:29" s="23" customFormat="1" ht="16.5" customHeight="1" x14ac:dyDescent="0.15">
      <c r="A137" s="2"/>
      <c r="B137" s="2"/>
      <c r="C137" s="2"/>
      <c r="D137" s="2"/>
      <c r="E137" s="2"/>
      <c r="H137" s="1"/>
      <c r="I137" s="96"/>
      <c r="M137" s="1"/>
      <c r="N137" s="1"/>
      <c r="O137" s="1"/>
      <c r="P137" s="1"/>
      <c r="Q137" s="1"/>
      <c r="R137" s="1"/>
      <c r="S137" s="1"/>
      <c r="T137" s="1"/>
      <c r="U137" s="1"/>
      <c r="V137" s="1"/>
      <c r="W137" s="1"/>
      <c r="X137" s="1"/>
      <c r="Y137" s="1"/>
      <c r="Z137" s="1"/>
      <c r="AA137" s="1"/>
      <c r="AB137" s="1"/>
      <c r="AC137" s="1"/>
    </row>
    <row r="138" spans="1:29" s="23" customFormat="1" ht="16.5" customHeight="1" x14ac:dyDescent="0.15">
      <c r="A138" s="2"/>
      <c r="B138" s="2"/>
      <c r="C138" s="2"/>
      <c r="D138" s="2"/>
      <c r="E138" s="2"/>
      <c r="H138" s="1"/>
      <c r="I138" s="96"/>
      <c r="M138" s="1"/>
      <c r="N138" s="1"/>
      <c r="O138" s="1"/>
      <c r="P138" s="1"/>
      <c r="Q138" s="1"/>
      <c r="R138" s="1"/>
      <c r="S138" s="1"/>
      <c r="T138" s="1"/>
      <c r="U138" s="1"/>
      <c r="V138" s="1"/>
      <c r="W138" s="1"/>
      <c r="X138" s="1"/>
      <c r="Y138" s="1"/>
      <c r="Z138" s="1"/>
      <c r="AA138" s="1"/>
      <c r="AB138" s="1"/>
      <c r="AC138" s="1"/>
    </row>
    <row r="139" spans="1:29" s="23" customFormat="1" ht="16.5" customHeight="1" x14ac:dyDescent="0.15">
      <c r="A139" s="2"/>
      <c r="B139" s="2"/>
      <c r="C139" s="2"/>
      <c r="D139" s="2"/>
      <c r="E139" s="2"/>
      <c r="H139" s="1"/>
      <c r="I139" s="96"/>
      <c r="M139" s="1"/>
      <c r="N139" s="1"/>
      <c r="O139" s="1"/>
      <c r="P139" s="1"/>
      <c r="Q139" s="1"/>
      <c r="R139" s="1"/>
      <c r="S139" s="1"/>
      <c r="T139" s="1"/>
      <c r="U139" s="1"/>
      <c r="V139" s="1"/>
      <c r="W139" s="1"/>
      <c r="X139" s="1"/>
      <c r="Y139" s="1"/>
      <c r="Z139" s="1"/>
      <c r="AA139" s="1"/>
      <c r="AB139" s="1"/>
      <c r="AC139" s="1"/>
    </row>
    <row r="140" spans="1:29" s="23" customFormat="1" ht="16.5" customHeight="1" x14ac:dyDescent="0.15">
      <c r="A140" s="2"/>
      <c r="B140" s="2"/>
      <c r="C140" s="2"/>
      <c r="D140" s="2"/>
      <c r="E140" s="2"/>
      <c r="H140" s="1"/>
      <c r="I140" s="96"/>
      <c r="M140" s="1"/>
      <c r="N140" s="1"/>
      <c r="O140" s="1"/>
      <c r="P140" s="1"/>
      <c r="Q140" s="1"/>
      <c r="R140" s="1"/>
      <c r="S140" s="1"/>
      <c r="T140" s="1"/>
      <c r="U140" s="1"/>
      <c r="V140" s="1"/>
      <c r="W140" s="1"/>
      <c r="X140" s="1"/>
      <c r="Y140" s="1"/>
      <c r="Z140" s="1"/>
      <c r="AA140" s="1"/>
      <c r="AB140" s="1"/>
      <c r="AC140" s="1"/>
    </row>
    <row r="141" spans="1:29" s="23" customFormat="1" ht="16.5" customHeight="1" x14ac:dyDescent="0.15">
      <c r="A141" s="2"/>
      <c r="B141" s="2"/>
      <c r="C141" s="2"/>
      <c r="D141" s="2"/>
      <c r="E141" s="2"/>
      <c r="H141" s="1"/>
      <c r="I141" s="96"/>
      <c r="M141" s="1"/>
      <c r="N141" s="1"/>
      <c r="O141" s="1"/>
      <c r="P141" s="1"/>
      <c r="Q141" s="1"/>
      <c r="R141" s="1"/>
      <c r="S141" s="1"/>
      <c r="T141" s="1"/>
      <c r="U141" s="1"/>
      <c r="V141" s="1"/>
      <c r="W141" s="1"/>
      <c r="X141" s="1"/>
      <c r="Y141" s="1"/>
      <c r="Z141" s="1"/>
      <c r="AA141" s="1"/>
      <c r="AB141" s="1"/>
      <c r="AC141" s="1"/>
    </row>
    <row r="142" spans="1:29" s="23" customFormat="1" ht="16.5" customHeight="1" x14ac:dyDescent="0.15">
      <c r="A142" s="2"/>
      <c r="B142" s="2"/>
      <c r="C142" s="2"/>
      <c r="D142" s="2"/>
      <c r="E142" s="2"/>
      <c r="H142" s="1"/>
      <c r="I142" s="96"/>
      <c r="M142" s="1"/>
      <c r="N142" s="1"/>
      <c r="O142" s="1"/>
      <c r="P142" s="1"/>
      <c r="Q142" s="1"/>
      <c r="R142" s="1"/>
      <c r="S142" s="1"/>
      <c r="T142" s="1"/>
      <c r="U142" s="1"/>
      <c r="V142" s="1"/>
      <c r="W142" s="1"/>
      <c r="X142" s="1"/>
      <c r="Y142" s="1"/>
      <c r="Z142" s="1"/>
      <c r="AA142" s="1"/>
      <c r="AB142" s="1"/>
      <c r="AC142" s="1"/>
    </row>
    <row r="143" spans="1:29" s="23" customFormat="1" ht="16.5" customHeight="1" x14ac:dyDescent="0.15">
      <c r="A143" s="2"/>
      <c r="B143" s="2"/>
      <c r="C143" s="2"/>
      <c r="D143" s="2"/>
      <c r="E143" s="2"/>
      <c r="H143" s="1"/>
      <c r="I143" s="96"/>
      <c r="M143" s="1"/>
      <c r="N143" s="1"/>
      <c r="O143" s="1"/>
      <c r="P143" s="1"/>
      <c r="Q143" s="1"/>
      <c r="R143" s="1"/>
      <c r="S143" s="1"/>
      <c r="T143" s="1"/>
      <c r="U143" s="1"/>
      <c r="V143" s="1"/>
      <c r="W143" s="1"/>
      <c r="X143" s="1"/>
      <c r="Y143" s="1"/>
      <c r="Z143" s="1"/>
      <c r="AA143" s="1"/>
      <c r="AB143" s="1"/>
      <c r="AC143" s="1"/>
    </row>
    <row r="144" spans="1:29" s="23" customFormat="1" ht="16.5" customHeight="1" x14ac:dyDescent="0.15">
      <c r="A144" s="2"/>
      <c r="B144" s="2"/>
      <c r="C144" s="2"/>
      <c r="D144" s="2"/>
      <c r="E144" s="2"/>
      <c r="H144" s="1"/>
      <c r="I144" s="96"/>
      <c r="M144" s="1"/>
      <c r="N144" s="1"/>
      <c r="O144" s="1"/>
      <c r="P144" s="1"/>
      <c r="Q144" s="1"/>
      <c r="R144" s="1"/>
      <c r="S144" s="1"/>
      <c r="T144" s="1"/>
      <c r="U144" s="1"/>
      <c r="V144" s="1"/>
      <c r="W144" s="1"/>
      <c r="X144" s="1"/>
      <c r="Y144" s="1"/>
      <c r="Z144" s="1"/>
      <c r="AA144" s="1"/>
      <c r="AB144" s="1"/>
      <c r="AC144" s="1"/>
    </row>
    <row r="145" spans="1:29" s="23" customFormat="1" ht="16.5" customHeight="1" x14ac:dyDescent="0.15">
      <c r="A145" s="2"/>
      <c r="B145" s="2"/>
      <c r="C145" s="2"/>
      <c r="D145" s="2"/>
      <c r="E145" s="2"/>
      <c r="H145" s="1"/>
      <c r="I145" s="96"/>
      <c r="M145" s="1"/>
      <c r="N145" s="1"/>
      <c r="O145" s="1"/>
      <c r="P145" s="1"/>
      <c r="Q145" s="1"/>
      <c r="R145" s="1"/>
      <c r="S145" s="1"/>
      <c r="T145" s="1"/>
      <c r="U145" s="1"/>
      <c r="V145" s="1"/>
      <c r="W145" s="1"/>
      <c r="X145" s="1"/>
      <c r="Y145" s="1"/>
      <c r="Z145" s="1"/>
      <c r="AA145" s="1"/>
      <c r="AB145" s="1"/>
      <c r="AC145" s="1"/>
    </row>
    <row r="146" spans="1:29" s="23" customFormat="1" ht="16.5" customHeight="1" x14ac:dyDescent="0.15">
      <c r="A146" s="2"/>
      <c r="B146" s="2"/>
      <c r="C146" s="2"/>
      <c r="D146" s="2"/>
      <c r="E146" s="2"/>
      <c r="H146" s="1"/>
      <c r="I146" s="96"/>
      <c r="M146" s="1"/>
      <c r="N146" s="1"/>
      <c r="O146" s="1"/>
      <c r="P146" s="1"/>
      <c r="Q146" s="1"/>
      <c r="R146" s="1"/>
      <c r="S146" s="1"/>
      <c r="T146" s="1"/>
      <c r="U146" s="1"/>
      <c r="V146" s="1"/>
      <c r="W146" s="1"/>
      <c r="X146" s="1"/>
      <c r="Y146" s="1"/>
      <c r="Z146" s="1"/>
      <c r="AA146" s="1"/>
      <c r="AB146" s="1"/>
      <c r="AC146" s="1"/>
    </row>
    <row r="147" spans="1:29" s="23" customFormat="1" ht="16.5" customHeight="1" x14ac:dyDescent="0.15">
      <c r="A147" s="2"/>
      <c r="B147" s="2"/>
      <c r="C147" s="2"/>
      <c r="D147" s="2"/>
      <c r="E147" s="2"/>
      <c r="H147" s="1"/>
      <c r="I147" s="96"/>
      <c r="M147" s="1"/>
      <c r="N147" s="1"/>
      <c r="O147" s="1"/>
      <c r="P147" s="1"/>
      <c r="Q147" s="1"/>
      <c r="R147" s="1"/>
      <c r="S147" s="1"/>
      <c r="T147" s="1"/>
      <c r="U147" s="1"/>
      <c r="V147" s="1"/>
      <c r="W147" s="1"/>
      <c r="X147" s="1"/>
      <c r="Y147" s="1"/>
      <c r="Z147" s="1"/>
      <c r="AA147" s="1"/>
      <c r="AB147" s="1"/>
      <c r="AC147" s="1"/>
    </row>
    <row r="148" spans="1:29" s="23" customFormat="1" ht="16.5" customHeight="1" x14ac:dyDescent="0.15">
      <c r="A148" s="2"/>
      <c r="B148" s="2"/>
      <c r="C148" s="2"/>
      <c r="D148" s="2"/>
      <c r="E148" s="2"/>
      <c r="H148" s="1"/>
      <c r="I148" s="96"/>
      <c r="M148" s="1"/>
      <c r="N148" s="1"/>
      <c r="O148" s="1"/>
      <c r="P148" s="1"/>
      <c r="Q148" s="1"/>
      <c r="R148" s="1"/>
      <c r="S148" s="1"/>
      <c r="T148" s="1"/>
      <c r="U148" s="1"/>
      <c r="V148" s="1"/>
      <c r="W148" s="1"/>
      <c r="X148" s="1"/>
      <c r="Y148" s="1"/>
      <c r="Z148" s="1"/>
      <c r="AA148" s="1"/>
      <c r="AB148" s="1"/>
      <c r="AC148" s="1"/>
    </row>
    <row r="149" spans="1:29" s="23" customFormat="1" ht="16.5" customHeight="1" x14ac:dyDescent="0.15">
      <c r="A149" s="2"/>
      <c r="B149" s="2"/>
      <c r="C149" s="2"/>
      <c r="D149" s="2"/>
      <c r="E149" s="2"/>
      <c r="H149" s="1"/>
      <c r="I149" s="96"/>
      <c r="M149" s="1"/>
      <c r="N149" s="1"/>
      <c r="O149" s="1"/>
      <c r="P149" s="1"/>
      <c r="Q149" s="1"/>
      <c r="R149" s="1"/>
      <c r="S149" s="1"/>
      <c r="T149" s="1"/>
      <c r="U149" s="1"/>
      <c r="V149" s="1"/>
      <c r="W149" s="1"/>
      <c r="X149" s="1"/>
      <c r="Y149" s="1"/>
      <c r="Z149" s="1"/>
      <c r="AA149" s="1"/>
      <c r="AB149" s="1"/>
      <c r="AC149" s="1"/>
    </row>
    <row r="150" spans="1:29" s="23" customFormat="1" ht="16.5" customHeight="1" x14ac:dyDescent="0.15">
      <c r="A150" s="2"/>
      <c r="B150" s="2"/>
      <c r="C150" s="2"/>
      <c r="D150" s="2"/>
      <c r="E150" s="2"/>
      <c r="H150" s="1"/>
      <c r="I150" s="96"/>
      <c r="M150" s="1"/>
      <c r="N150" s="1"/>
      <c r="O150" s="1"/>
      <c r="P150" s="1"/>
      <c r="Q150" s="1"/>
      <c r="R150" s="1"/>
      <c r="S150" s="1"/>
      <c r="T150" s="1"/>
      <c r="U150" s="1"/>
      <c r="V150" s="1"/>
      <c r="W150" s="1"/>
      <c r="X150" s="1"/>
      <c r="Y150" s="1"/>
      <c r="Z150" s="1"/>
      <c r="AA150" s="1"/>
      <c r="AB150" s="1"/>
      <c r="AC150" s="1"/>
    </row>
    <row r="151" spans="1:29" s="23" customFormat="1" ht="16.5" customHeight="1" x14ac:dyDescent="0.15">
      <c r="A151" s="2"/>
      <c r="B151" s="2"/>
      <c r="C151" s="2"/>
      <c r="D151" s="2"/>
      <c r="E151" s="2"/>
      <c r="H151" s="1"/>
      <c r="I151" s="96"/>
      <c r="M151" s="1"/>
      <c r="N151" s="1"/>
      <c r="O151" s="1"/>
      <c r="P151" s="1"/>
      <c r="Q151" s="1"/>
      <c r="R151" s="1"/>
      <c r="S151" s="1"/>
      <c r="T151" s="1"/>
      <c r="U151" s="1"/>
      <c r="V151" s="1"/>
      <c r="W151" s="1"/>
      <c r="X151" s="1"/>
      <c r="Y151" s="1"/>
      <c r="Z151" s="1"/>
      <c r="AA151" s="1"/>
      <c r="AB151" s="1"/>
      <c r="AC151" s="1"/>
    </row>
    <row r="152" spans="1:29" s="23" customFormat="1" ht="16.5" customHeight="1" x14ac:dyDescent="0.15">
      <c r="A152" s="2"/>
      <c r="B152" s="2"/>
      <c r="C152" s="2"/>
      <c r="D152" s="2"/>
      <c r="E152" s="2"/>
      <c r="H152" s="1"/>
      <c r="I152" s="96"/>
      <c r="M152" s="1"/>
      <c r="N152" s="1"/>
      <c r="O152" s="1"/>
      <c r="P152" s="1"/>
      <c r="Q152" s="1"/>
      <c r="R152" s="1"/>
      <c r="S152" s="1"/>
      <c r="T152" s="1"/>
      <c r="U152" s="1"/>
      <c r="V152" s="1"/>
      <c r="W152" s="1"/>
      <c r="X152" s="1"/>
      <c r="Y152" s="1"/>
      <c r="Z152" s="1"/>
      <c r="AA152" s="1"/>
      <c r="AB152" s="1"/>
      <c r="AC152" s="1"/>
    </row>
    <row r="153" spans="1:29" s="23" customFormat="1" ht="16.5" customHeight="1" x14ac:dyDescent="0.15">
      <c r="A153" s="2"/>
      <c r="B153" s="2"/>
      <c r="C153" s="2"/>
      <c r="D153" s="2"/>
      <c r="E153" s="2"/>
      <c r="H153" s="1"/>
      <c r="I153" s="96"/>
      <c r="M153" s="1"/>
      <c r="N153" s="1"/>
      <c r="O153" s="1"/>
      <c r="P153" s="1"/>
      <c r="Q153" s="1"/>
      <c r="R153" s="1"/>
      <c r="S153" s="1"/>
      <c r="T153" s="1"/>
      <c r="U153" s="1"/>
      <c r="V153" s="1"/>
      <c r="W153" s="1"/>
      <c r="X153" s="1"/>
      <c r="Y153" s="1"/>
      <c r="Z153" s="1"/>
      <c r="AA153" s="1"/>
      <c r="AB153" s="1"/>
      <c r="AC153" s="1"/>
    </row>
    <row r="154" spans="1:29" s="23" customFormat="1" ht="16.5" customHeight="1" x14ac:dyDescent="0.15">
      <c r="A154" s="2"/>
      <c r="B154" s="2"/>
      <c r="C154" s="2"/>
      <c r="D154" s="2"/>
      <c r="E154" s="2"/>
      <c r="H154" s="1"/>
      <c r="I154" s="96"/>
      <c r="M154" s="1"/>
      <c r="N154" s="1"/>
      <c r="O154" s="1"/>
      <c r="P154" s="1"/>
      <c r="Q154" s="1"/>
      <c r="R154" s="1"/>
      <c r="S154" s="1"/>
      <c r="T154" s="1"/>
      <c r="U154" s="1"/>
      <c r="V154" s="1"/>
      <c r="W154" s="1"/>
      <c r="X154" s="1"/>
      <c r="Y154" s="1"/>
      <c r="Z154" s="1"/>
      <c r="AA154" s="1"/>
      <c r="AB154" s="1"/>
      <c r="AC154" s="1"/>
    </row>
    <row r="155" spans="1:29" s="23" customFormat="1" ht="16.5" customHeight="1" x14ac:dyDescent="0.15">
      <c r="A155" s="2"/>
      <c r="B155" s="2"/>
      <c r="C155" s="2"/>
      <c r="D155" s="2"/>
      <c r="E155" s="2"/>
      <c r="H155" s="1"/>
      <c r="I155" s="96"/>
      <c r="M155" s="1"/>
      <c r="N155" s="1"/>
      <c r="O155" s="1"/>
      <c r="P155" s="1"/>
      <c r="Q155" s="1"/>
      <c r="R155" s="1"/>
      <c r="S155" s="1"/>
      <c r="T155" s="1"/>
      <c r="U155" s="1"/>
      <c r="V155" s="1"/>
      <c r="W155" s="1"/>
      <c r="X155" s="1"/>
      <c r="Y155" s="1"/>
      <c r="Z155" s="1"/>
      <c r="AA155" s="1"/>
      <c r="AB155" s="1"/>
      <c r="AC155" s="1"/>
    </row>
    <row r="156" spans="1:29" s="23" customFormat="1" ht="16.5" customHeight="1" x14ac:dyDescent="0.15">
      <c r="A156" s="2"/>
      <c r="B156" s="2"/>
      <c r="C156" s="2"/>
      <c r="D156" s="2"/>
      <c r="E156" s="2"/>
      <c r="H156" s="1"/>
      <c r="I156" s="96"/>
      <c r="M156" s="1"/>
      <c r="N156" s="1"/>
      <c r="O156" s="1"/>
      <c r="P156" s="1"/>
      <c r="Q156" s="1"/>
      <c r="R156" s="1"/>
      <c r="S156" s="1"/>
      <c r="T156" s="1"/>
      <c r="U156" s="1"/>
      <c r="V156" s="1"/>
      <c r="W156" s="1"/>
      <c r="X156" s="1"/>
      <c r="Y156" s="1"/>
      <c r="Z156" s="1"/>
      <c r="AA156" s="1"/>
      <c r="AB156" s="1"/>
      <c r="AC156" s="1"/>
    </row>
    <row r="157" spans="1:29" s="23" customFormat="1" ht="16.5" customHeight="1" x14ac:dyDescent="0.15">
      <c r="A157" s="2"/>
      <c r="B157" s="2"/>
      <c r="C157" s="2"/>
      <c r="D157" s="2"/>
      <c r="E157" s="2"/>
      <c r="H157" s="1"/>
      <c r="I157" s="96"/>
      <c r="M157" s="1"/>
      <c r="N157" s="1"/>
      <c r="O157" s="1"/>
      <c r="P157" s="1"/>
      <c r="Q157" s="1"/>
      <c r="R157" s="1"/>
      <c r="S157" s="1"/>
      <c r="T157" s="1"/>
      <c r="U157" s="1"/>
      <c r="V157" s="1"/>
      <c r="W157" s="1"/>
      <c r="X157" s="1"/>
      <c r="Y157" s="1"/>
      <c r="Z157" s="1"/>
      <c r="AA157" s="1"/>
      <c r="AB157" s="1"/>
      <c r="AC157" s="1"/>
    </row>
    <row r="158" spans="1:29" s="23" customFormat="1" ht="16.5" customHeight="1" x14ac:dyDescent="0.15">
      <c r="A158" s="2"/>
      <c r="B158" s="2"/>
      <c r="C158" s="2"/>
      <c r="D158" s="2"/>
      <c r="E158" s="2"/>
      <c r="H158" s="1"/>
      <c r="I158" s="96"/>
      <c r="M158" s="1"/>
      <c r="N158" s="1"/>
      <c r="O158" s="1"/>
      <c r="P158" s="1"/>
      <c r="Q158" s="1"/>
      <c r="R158" s="1"/>
      <c r="S158" s="1"/>
      <c r="T158" s="1"/>
      <c r="U158" s="1"/>
      <c r="V158" s="1"/>
      <c r="W158" s="1"/>
      <c r="X158" s="1"/>
      <c r="Y158" s="1"/>
      <c r="Z158" s="1"/>
      <c r="AA158" s="1"/>
      <c r="AB158" s="1"/>
      <c r="AC158" s="1"/>
    </row>
    <row r="159" spans="1:29" s="23" customFormat="1" ht="16.5" customHeight="1" x14ac:dyDescent="0.15">
      <c r="A159" s="2"/>
      <c r="B159" s="2"/>
      <c r="C159" s="2"/>
      <c r="D159" s="2"/>
      <c r="E159" s="2"/>
      <c r="H159" s="1"/>
      <c r="I159" s="96"/>
      <c r="M159" s="1"/>
      <c r="N159" s="1"/>
      <c r="O159" s="1"/>
      <c r="P159" s="1"/>
      <c r="Q159" s="1"/>
      <c r="R159" s="1"/>
      <c r="S159" s="1"/>
      <c r="T159" s="1"/>
      <c r="U159" s="1"/>
      <c r="V159" s="1"/>
      <c r="W159" s="1"/>
      <c r="X159" s="1"/>
      <c r="Y159" s="1"/>
      <c r="Z159" s="1"/>
      <c r="AA159" s="1"/>
      <c r="AB159" s="1"/>
      <c r="AC159" s="1"/>
    </row>
    <row r="160" spans="1:29" s="23" customFormat="1" ht="16.5" customHeight="1" x14ac:dyDescent="0.15">
      <c r="A160" s="2"/>
      <c r="B160" s="2"/>
      <c r="C160" s="2"/>
      <c r="D160" s="2"/>
      <c r="E160" s="2"/>
      <c r="H160" s="1"/>
      <c r="I160" s="96"/>
      <c r="M160" s="1"/>
      <c r="N160" s="1"/>
      <c r="O160" s="1"/>
      <c r="P160" s="1"/>
      <c r="Q160" s="1"/>
      <c r="R160" s="1"/>
      <c r="S160" s="1"/>
      <c r="T160" s="1"/>
      <c r="U160" s="1"/>
      <c r="V160" s="1"/>
      <c r="W160" s="1"/>
      <c r="X160" s="1"/>
      <c r="Y160" s="1"/>
      <c r="Z160" s="1"/>
      <c r="AA160" s="1"/>
      <c r="AB160" s="1"/>
      <c r="AC160" s="1"/>
    </row>
    <row r="161" spans="1:29" s="23" customFormat="1" ht="16.5" customHeight="1" x14ac:dyDescent="0.15">
      <c r="A161" s="2"/>
      <c r="B161" s="2"/>
      <c r="C161" s="2"/>
      <c r="D161" s="2"/>
      <c r="E161" s="2"/>
      <c r="H161" s="1"/>
      <c r="I161" s="96"/>
      <c r="M161" s="1"/>
      <c r="N161" s="1"/>
      <c r="O161" s="1"/>
      <c r="P161" s="1"/>
      <c r="Q161" s="1"/>
      <c r="R161" s="1"/>
      <c r="S161" s="1"/>
      <c r="T161" s="1"/>
      <c r="U161" s="1"/>
      <c r="V161" s="1"/>
      <c r="W161" s="1"/>
      <c r="X161" s="1"/>
      <c r="Y161" s="1"/>
      <c r="Z161" s="1"/>
      <c r="AA161" s="1"/>
      <c r="AB161" s="1"/>
      <c r="AC161" s="1"/>
    </row>
    <row r="162" spans="1:29" s="23" customFormat="1" ht="16.5" customHeight="1" x14ac:dyDescent="0.15">
      <c r="A162" s="2"/>
      <c r="B162" s="2"/>
      <c r="C162" s="2"/>
      <c r="D162" s="2"/>
      <c r="E162" s="2"/>
      <c r="H162" s="1"/>
      <c r="I162" s="96"/>
      <c r="M162" s="1"/>
      <c r="N162" s="1"/>
      <c r="O162" s="1"/>
      <c r="P162" s="1"/>
      <c r="Q162" s="1"/>
      <c r="R162" s="1"/>
      <c r="S162" s="1"/>
      <c r="T162" s="1"/>
      <c r="U162" s="1"/>
      <c r="V162" s="1"/>
      <c r="W162" s="1"/>
      <c r="X162" s="1"/>
      <c r="Y162" s="1"/>
      <c r="Z162" s="1"/>
      <c r="AA162" s="1"/>
      <c r="AB162" s="1"/>
      <c r="AC162" s="1"/>
    </row>
    <row r="163" spans="1:29" s="23" customFormat="1" ht="16.5" customHeight="1" x14ac:dyDescent="0.15">
      <c r="A163" s="2"/>
      <c r="B163" s="2"/>
      <c r="C163" s="2"/>
      <c r="D163" s="2"/>
      <c r="E163" s="2"/>
      <c r="H163" s="1"/>
      <c r="I163" s="96"/>
      <c r="M163" s="1"/>
      <c r="N163" s="1"/>
      <c r="O163" s="1"/>
      <c r="P163" s="1"/>
      <c r="Q163" s="1"/>
      <c r="R163" s="1"/>
      <c r="S163" s="1"/>
      <c r="T163" s="1"/>
      <c r="U163" s="1"/>
      <c r="V163" s="1"/>
      <c r="W163" s="1"/>
      <c r="X163" s="1"/>
      <c r="Y163" s="1"/>
      <c r="Z163" s="1"/>
      <c r="AA163" s="1"/>
      <c r="AB163" s="1"/>
      <c r="AC163" s="1"/>
    </row>
    <row r="164" spans="1:29" s="23" customFormat="1" ht="16.5" customHeight="1" x14ac:dyDescent="0.15">
      <c r="A164" s="2"/>
      <c r="B164" s="2"/>
      <c r="C164" s="2"/>
      <c r="D164" s="2"/>
      <c r="E164" s="2"/>
      <c r="H164" s="1"/>
      <c r="I164" s="96"/>
      <c r="M164" s="1"/>
      <c r="N164" s="1"/>
      <c r="O164" s="1"/>
      <c r="P164" s="1"/>
      <c r="Q164" s="1"/>
      <c r="R164" s="1"/>
      <c r="S164" s="1"/>
      <c r="T164" s="1"/>
      <c r="U164" s="1"/>
      <c r="V164" s="1"/>
      <c r="W164" s="1"/>
      <c r="X164" s="1"/>
      <c r="Y164" s="1"/>
      <c r="Z164" s="1"/>
      <c r="AA164" s="1"/>
      <c r="AB164" s="1"/>
      <c r="AC164" s="1"/>
    </row>
    <row r="165" spans="1:29" s="23" customFormat="1" ht="16.5" customHeight="1" x14ac:dyDescent="0.15">
      <c r="A165" s="2"/>
      <c r="B165" s="2"/>
      <c r="C165" s="2"/>
      <c r="D165" s="2"/>
      <c r="E165" s="2"/>
      <c r="H165" s="1"/>
      <c r="I165" s="96"/>
      <c r="M165" s="1"/>
      <c r="N165" s="1"/>
      <c r="O165" s="1"/>
      <c r="P165" s="1"/>
      <c r="Q165" s="1"/>
      <c r="R165" s="1"/>
      <c r="S165" s="1"/>
      <c r="T165" s="1"/>
      <c r="U165" s="1"/>
      <c r="V165" s="1"/>
      <c r="W165" s="1"/>
      <c r="X165" s="1"/>
      <c r="Y165" s="1"/>
      <c r="Z165" s="1"/>
      <c r="AA165" s="1"/>
      <c r="AB165" s="1"/>
      <c r="AC165" s="1"/>
    </row>
    <row r="166" spans="1:29" s="23" customFormat="1" ht="16.5" customHeight="1" x14ac:dyDescent="0.15">
      <c r="A166" s="2"/>
      <c r="B166" s="2"/>
      <c r="C166" s="2"/>
      <c r="D166" s="2"/>
      <c r="E166" s="2"/>
      <c r="H166" s="1"/>
      <c r="I166" s="96"/>
      <c r="M166" s="1"/>
      <c r="N166" s="1"/>
      <c r="O166" s="1"/>
      <c r="P166" s="1"/>
      <c r="Q166" s="1"/>
      <c r="R166" s="1"/>
      <c r="S166" s="1"/>
      <c r="T166" s="1"/>
      <c r="U166" s="1"/>
      <c r="V166" s="1"/>
      <c r="W166" s="1"/>
      <c r="X166" s="1"/>
      <c r="Y166" s="1"/>
      <c r="Z166" s="1"/>
      <c r="AA166" s="1"/>
      <c r="AB166" s="1"/>
      <c r="AC166" s="1"/>
    </row>
    <row r="167" spans="1:29" s="23" customFormat="1" ht="16.5" customHeight="1" x14ac:dyDescent="0.15">
      <c r="A167" s="2"/>
      <c r="B167" s="2"/>
      <c r="C167" s="2"/>
      <c r="D167" s="2"/>
      <c r="E167" s="2"/>
      <c r="H167" s="1"/>
      <c r="I167" s="96"/>
      <c r="M167" s="1"/>
      <c r="N167" s="1"/>
      <c r="O167" s="1"/>
      <c r="P167" s="1"/>
      <c r="Q167" s="1"/>
      <c r="R167" s="1"/>
      <c r="S167" s="1"/>
      <c r="T167" s="1"/>
      <c r="U167" s="1"/>
      <c r="V167" s="1"/>
      <c r="W167" s="1"/>
      <c r="X167" s="1"/>
      <c r="Y167" s="1"/>
      <c r="Z167" s="1"/>
      <c r="AA167" s="1"/>
      <c r="AB167" s="1"/>
      <c r="AC167" s="1"/>
    </row>
    <row r="168" spans="1:29" s="23" customFormat="1" ht="16.5" customHeight="1" x14ac:dyDescent="0.15">
      <c r="A168" s="2"/>
      <c r="B168" s="2"/>
      <c r="C168" s="2"/>
      <c r="D168" s="2"/>
      <c r="E168" s="2"/>
      <c r="H168" s="1"/>
      <c r="I168" s="96"/>
      <c r="M168" s="1"/>
      <c r="N168" s="1"/>
      <c r="O168" s="1"/>
      <c r="P168" s="1"/>
      <c r="Q168" s="1"/>
      <c r="R168" s="1"/>
      <c r="S168" s="1"/>
      <c r="T168" s="1"/>
      <c r="U168" s="1"/>
      <c r="V168" s="1"/>
      <c r="W168" s="1"/>
      <c r="X168" s="1"/>
      <c r="Y168" s="1"/>
      <c r="Z168" s="1"/>
      <c r="AA168" s="1"/>
      <c r="AB168" s="1"/>
      <c r="AC168" s="1"/>
    </row>
    <row r="169" spans="1:29" s="23" customFormat="1" ht="16.5" customHeight="1" x14ac:dyDescent="0.15">
      <c r="A169" s="2"/>
      <c r="B169" s="2"/>
      <c r="C169" s="2"/>
      <c r="D169" s="2"/>
      <c r="E169" s="2"/>
      <c r="H169" s="1"/>
      <c r="I169" s="96"/>
      <c r="M169" s="1"/>
      <c r="N169" s="1"/>
      <c r="O169" s="1"/>
      <c r="P169" s="1"/>
      <c r="Q169" s="1"/>
      <c r="R169" s="1"/>
      <c r="S169" s="1"/>
      <c r="T169" s="1"/>
      <c r="U169" s="1"/>
      <c r="V169" s="1"/>
      <c r="W169" s="1"/>
      <c r="X169" s="1"/>
      <c r="Y169" s="1"/>
      <c r="Z169" s="1"/>
      <c r="AA169" s="1"/>
      <c r="AB169" s="1"/>
      <c r="AC169" s="1"/>
    </row>
    <row r="170" spans="1:29" s="23" customFormat="1" ht="16.5" customHeight="1" x14ac:dyDescent="0.15">
      <c r="A170" s="2"/>
      <c r="B170" s="2"/>
      <c r="C170" s="2"/>
      <c r="D170" s="2"/>
      <c r="E170" s="2"/>
      <c r="H170" s="1"/>
      <c r="I170" s="96"/>
      <c r="M170" s="1"/>
      <c r="N170" s="1"/>
      <c r="O170" s="1"/>
      <c r="P170" s="1"/>
      <c r="Q170" s="1"/>
      <c r="R170" s="1"/>
      <c r="S170" s="1"/>
      <c r="T170" s="1"/>
      <c r="U170" s="1"/>
      <c r="V170" s="1"/>
      <c r="W170" s="1"/>
      <c r="X170" s="1"/>
      <c r="Y170" s="1"/>
      <c r="Z170" s="1"/>
      <c r="AA170" s="1"/>
      <c r="AB170" s="1"/>
      <c r="AC170" s="1"/>
    </row>
    <row r="171" spans="1:29" s="23" customFormat="1" ht="16.5" customHeight="1" x14ac:dyDescent="0.15">
      <c r="A171" s="2"/>
      <c r="B171" s="2"/>
      <c r="C171" s="2"/>
      <c r="D171" s="2"/>
      <c r="E171" s="2"/>
      <c r="H171" s="1"/>
      <c r="I171" s="96"/>
      <c r="M171" s="1"/>
      <c r="N171" s="1"/>
      <c r="O171" s="1"/>
      <c r="P171" s="1"/>
      <c r="Q171" s="1"/>
      <c r="R171" s="1"/>
      <c r="S171" s="1"/>
      <c r="T171" s="1"/>
      <c r="U171" s="1"/>
      <c r="V171" s="1"/>
      <c r="W171" s="1"/>
      <c r="X171" s="1"/>
      <c r="Y171" s="1"/>
      <c r="Z171" s="1"/>
      <c r="AA171" s="1"/>
      <c r="AB171" s="1"/>
      <c r="AC171" s="1"/>
    </row>
    <row r="172" spans="1:29" s="23" customFormat="1" ht="16.5" customHeight="1" x14ac:dyDescent="0.15">
      <c r="A172" s="2"/>
      <c r="B172" s="2"/>
      <c r="C172" s="2"/>
      <c r="D172" s="2"/>
      <c r="E172" s="2"/>
      <c r="H172" s="1"/>
      <c r="I172" s="96"/>
      <c r="M172" s="1"/>
      <c r="N172" s="1"/>
      <c r="O172" s="1"/>
      <c r="P172" s="1"/>
      <c r="Q172" s="1"/>
      <c r="R172" s="1"/>
      <c r="S172" s="1"/>
      <c r="T172" s="1"/>
      <c r="U172" s="1"/>
      <c r="V172" s="1"/>
      <c r="W172" s="1"/>
      <c r="X172" s="1"/>
      <c r="Y172" s="1"/>
      <c r="Z172" s="1"/>
      <c r="AA172" s="1"/>
      <c r="AB172" s="1"/>
      <c r="AC172" s="1"/>
    </row>
    <row r="173" spans="1:29" s="23" customFormat="1" ht="16.5" customHeight="1" x14ac:dyDescent="0.15">
      <c r="A173" s="2"/>
      <c r="B173" s="2"/>
      <c r="C173" s="2"/>
      <c r="D173" s="2"/>
      <c r="E173" s="2"/>
      <c r="H173" s="1"/>
      <c r="I173" s="96"/>
      <c r="M173" s="1"/>
      <c r="N173" s="1"/>
      <c r="O173" s="1"/>
      <c r="P173" s="1"/>
      <c r="Q173" s="1"/>
      <c r="R173" s="1"/>
      <c r="S173" s="1"/>
      <c r="T173" s="1"/>
      <c r="U173" s="1"/>
      <c r="V173" s="1"/>
      <c r="W173" s="1"/>
      <c r="X173" s="1"/>
      <c r="Y173" s="1"/>
      <c r="Z173" s="1"/>
      <c r="AA173" s="1"/>
      <c r="AB173" s="1"/>
      <c r="AC173" s="1"/>
    </row>
    <row r="174" spans="1:29" s="23" customFormat="1" ht="16.5" customHeight="1" x14ac:dyDescent="0.15">
      <c r="A174" s="2"/>
      <c r="B174" s="2"/>
      <c r="C174" s="2"/>
      <c r="D174" s="2"/>
      <c r="E174" s="2"/>
      <c r="H174" s="1"/>
      <c r="I174" s="96"/>
      <c r="M174" s="1"/>
      <c r="N174" s="1"/>
      <c r="O174" s="1"/>
      <c r="P174" s="1"/>
      <c r="Q174" s="1"/>
      <c r="R174" s="1"/>
      <c r="S174" s="1"/>
      <c r="T174" s="1"/>
      <c r="U174" s="1"/>
      <c r="V174" s="1"/>
      <c r="W174" s="1"/>
      <c r="X174" s="1"/>
      <c r="Y174" s="1"/>
      <c r="Z174" s="1"/>
      <c r="AA174" s="1"/>
      <c r="AB174" s="1"/>
      <c r="AC174" s="1"/>
    </row>
    <row r="175" spans="1:29" s="23" customFormat="1" ht="16.5" customHeight="1" x14ac:dyDescent="0.15">
      <c r="A175" s="2"/>
      <c r="B175" s="2"/>
      <c r="C175" s="2"/>
      <c r="D175" s="2"/>
      <c r="E175" s="2"/>
      <c r="H175" s="1"/>
      <c r="I175" s="96"/>
      <c r="M175" s="1"/>
      <c r="N175" s="1"/>
      <c r="O175" s="1"/>
      <c r="P175" s="1"/>
      <c r="Q175" s="1"/>
      <c r="R175" s="1"/>
      <c r="S175" s="1"/>
      <c r="T175" s="1"/>
      <c r="U175" s="1"/>
      <c r="V175" s="1"/>
      <c r="W175" s="1"/>
      <c r="X175" s="1"/>
      <c r="Y175" s="1"/>
      <c r="Z175" s="1"/>
      <c r="AA175" s="1"/>
      <c r="AB175" s="1"/>
      <c r="AC175" s="1"/>
    </row>
    <row r="176" spans="1:29" s="23" customFormat="1" ht="16.5" customHeight="1" x14ac:dyDescent="0.15">
      <c r="A176" s="2"/>
      <c r="B176" s="2"/>
      <c r="C176" s="2"/>
      <c r="D176" s="2"/>
      <c r="E176" s="2"/>
      <c r="H176" s="1"/>
      <c r="I176" s="96"/>
      <c r="M176" s="1"/>
      <c r="N176" s="1"/>
      <c r="O176" s="1"/>
      <c r="P176" s="1"/>
      <c r="Q176" s="1"/>
      <c r="R176" s="1"/>
      <c r="S176" s="1"/>
      <c r="T176" s="1"/>
      <c r="U176" s="1"/>
      <c r="V176" s="1"/>
      <c r="W176" s="1"/>
      <c r="X176" s="1"/>
      <c r="Y176" s="1"/>
      <c r="Z176" s="1"/>
      <c r="AA176" s="1"/>
      <c r="AB176" s="1"/>
      <c r="AC176" s="1"/>
    </row>
    <row r="177" spans="1:29" s="23" customFormat="1" ht="16.5" customHeight="1" x14ac:dyDescent="0.15">
      <c r="A177" s="2"/>
      <c r="B177" s="2"/>
      <c r="C177" s="2"/>
      <c r="D177" s="2"/>
      <c r="E177" s="2"/>
      <c r="H177" s="1"/>
      <c r="I177" s="96"/>
      <c r="M177" s="1"/>
      <c r="N177" s="1"/>
      <c r="O177" s="1"/>
      <c r="P177" s="1"/>
      <c r="Q177" s="1"/>
      <c r="R177" s="1"/>
      <c r="S177" s="1"/>
      <c r="T177" s="1"/>
      <c r="U177" s="1"/>
      <c r="V177" s="1"/>
      <c r="W177" s="1"/>
      <c r="X177" s="1"/>
      <c r="Y177" s="1"/>
      <c r="Z177" s="1"/>
      <c r="AA177" s="1"/>
      <c r="AB177" s="1"/>
      <c r="AC177" s="1"/>
    </row>
    <row r="178" spans="1:29" s="23" customFormat="1" ht="16.5" customHeight="1" x14ac:dyDescent="0.15">
      <c r="A178" s="2"/>
      <c r="B178" s="2"/>
      <c r="C178" s="2"/>
      <c r="D178" s="2"/>
      <c r="E178" s="2"/>
      <c r="H178" s="1"/>
      <c r="I178" s="96"/>
      <c r="M178" s="1"/>
      <c r="N178" s="1"/>
      <c r="O178" s="1"/>
      <c r="P178" s="1"/>
      <c r="Q178" s="1"/>
      <c r="R178" s="1"/>
      <c r="S178" s="1"/>
      <c r="T178" s="1"/>
      <c r="U178" s="1"/>
      <c r="V178" s="1"/>
      <c r="W178" s="1"/>
      <c r="X178" s="1"/>
      <c r="Y178" s="1"/>
      <c r="Z178" s="1"/>
      <c r="AA178" s="1"/>
      <c r="AB178" s="1"/>
      <c r="AC178" s="1"/>
    </row>
    <row r="179" spans="1:29" s="23" customFormat="1" ht="16.5" customHeight="1" x14ac:dyDescent="0.15">
      <c r="A179" s="2"/>
      <c r="B179" s="2"/>
      <c r="C179" s="2"/>
      <c r="D179" s="2"/>
      <c r="E179" s="2"/>
      <c r="H179" s="1"/>
      <c r="I179" s="96"/>
      <c r="M179" s="1"/>
      <c r="N179" s="1"/>
      <c r="O179" s="1"/>
      <c r="P179" s="1"/>
      <c r="Q179" s="1"/>
      <c r="R179" s="1"/>
      <c r="S179" s="1"/>
      <c r="T179" s="1"/>
      <c r="U179" s="1"/>
      <c r="V179" s="1"/>
      <c r="W179" s="1"/>
      <c r="X179" s="1"/>
      <c r="Y179" s="1"/>
      <c r="Z179" s="1"/>
      <c r="AA179" s="1"/>
      <c r="AB179" s="1"/>
      <c r="AC179" s="1"/>
    </row>
    <row r="180" spans="1:29" s="23" customFormat="1" ht="16.5" customHeight="1" x14ac:dyDescent="0.15">
      <c r="A180" s="2"/>
      <c r="B180" s="2"/>
      <c r="C180" s="2"/>
      <c r="D180" s="2"/>
      <c r="E180" s="2"/>
      <c r="H180" s="1"/>
      <c r="I180" s="96"/>
      <c r="M180" s="1"/>
      <c r="N180" s="1"/>
      <c r="O180" s="1"/>
      <c r="P180" s="1"/>
      <c r="Q180" s="1"/>
      <c r="R180" s="1"/>
      <c r="S180" s="1"/>
      <c r="T180" s="1"/>
      <c r="U180" s="1"/>
      <c r="V180" s="1"/>
      <c r="W180" s="1"/>
      <c r="X180" s="1"/>
      <c r="Y180" s="1"/>
      <c r="Z180" s="1"/>
      <c r="AA180" s="1"/>
      <c r="AB180" s="1"/>
      <c r="AC180" s="1"/>
    </row>
    <row r="181" spans="1:29" s="23" customFormat="1" ht="16.5" customHeight="1" x14ac:dyDescent="0.15">
      <c r="A181" s="2"/>
      <c r="B181" s="2"/>
      <c r="C181" s="2"/>
      <c r="D181" s="2"/>
      <c r="E181" s="2"/>
      <c r="H181" s="1"/>
      <c r="I181" s="96"/>
      <c r="M181" s="1"/>
      <c r="N181" s="1"/>
      <c r="O181" s="1"/>
      <c r="P181" s="1"/>
      <c r="Q181" s="1"/>
      <c r="R181" s="1"/>
      <c r="S181" s="1"/>
      <c r="T181" s="1"/>
      <c r="U181" s="1"/>
      <c r="V181" s="1"/>
      <c r="W181" s="1"/>
      <c r="X181" s="1"/>
      <c r="Y181" s="1"/>
      <c r="Z181" s="1"/>
      <c r="AA181" s="1"/>
      <c r="AB181" s="1"/>
      <c r="AC181" s="1"/>
    </row>
    <row r="182" spans="1:29" s="23" customFormat="1" ht="16.5" customHeight="1" x14ac:dyDescent="0.15">
      <c r="A182" s="2"/>
      <c r="B182" s="2"/>
      <c r="C182" s="2"/>
      <c r="D182" s="2"/>
      <c r="E182" s="2"/>
      <c r="H182" s="1"/>
      <c r="I182" s="96"/>
      <c r="M182" s="1"/>
      <c r="N182" s="1"/>
      <c r="O182" s="1"/>
      <c r="P182" s="1"/>
      <c r="Q182" s="1"/>
      <c r="R182" s="1"/>
      <c r="S182" s="1"/>
      <c r="T182" s="1"/>
      <c r="U182" s="1"/>
      <c r="V182" s="1"/>
      <c r="W182" s="1"/>
      <c r="X182" s="1"/>
      <c r="Y182" s="1"/>
      <c r="Z182" s="1"/>
      <c r="AA182" s="1"/>
      <c r="AB182" s="1"/>
      <c r="AC182" s="1"/>
    </row>
    <row r="183" spans="1:29" s="23" customFormat="1" ht="16.5" customHeight="1" x14ac:dyDescent="0.15">
      <c r="A183" s="2"/>
      <c r="B183" s="2"/>
      <c r="C183" s="2"/>
      <c r="D183" s="2"/>
      <c r="E183" s="2"/>
      <c r="H183" s="1"/>
      <c r="I183" s="96"/>
      <c r="M183" s="1"/>
      <c r="N183" s="1"/>
      <c r="O183" s="1"/>
      <c r="P183" s="1"/>
      <c r="Q183" s="1"/>
      <c r="R183" s="1"/>
      <c r="S183" s="1"/>
      <c r="T183" s="1"/>
      <c r="U183" s="1"/>
      <c r="V183" s="1"/>
      <c r="W183" s="1"/>
      <c r="X183" s="1"/>
      <c r="Y183" s="1"/>
      <c r="Z183" s="1"/>
      <c r="AA183" s="1"/>
      <c r="AB183" s="1"/>
      <c r="AC183" s="1"/>
    </row>
    <row r="184" spans="1:29" s="23" customFormat="1" ht="16.5" customHeight="1" x14ac:dyDescent="0.15">
      <c r="A184" s="2"/>
      <c r="B184" s="2"/>
      <c r="C184" s="2"/>
      <c r="D184" s="2"/>
      <c r="E184" s="2"/>
      <c r="H184" s="1"/>
      <c r="I184" s="96"/>
      <c r="M184" s="1"/>
      <c r="N184" s="1"/>
      <c r="O184" s="1"/>
      <c r="P184" s="1"/>
      <c r="Q184" s="1"/>
      <c r="R184" s="1"/>
      <c r="S184" s="1"/>
      <c r="T184" s="1"/>
      <c r="U184" s="1"/>
      <c r="V184" s="1"/>
      <c r="W184" s="1"/>
      <c r="X184" s="1"/>
      <c r="Y184" s="1"/>
      <c r="Z184" s="1"/>
      <c r="AA184" s="1"/>
      <c r="AB184" s="1"/>
      <c r="AC184" s="1"/>
    </row>
    <row r="185" spans="1:29" s="23" customFormat="1" ht="16.5" customHeight="1" x14ac:dyDescent="0.15">
      <c r="A185" s="2"/>
      <c r="B185" s="2"/>
      <c r="C185" s="2"/>
      <c r="D185" s="2"/>
      <c r="E185" s="2"/>
      <c r="H185" s="1"/>
      <c r="I185" s="96"/>
      <c r="M185" s="1"/>
      <c r="N185" s="1"/>
      <c r="O185" s="1"/>
      <c r="P185" s="1"/>
      <c r="Q185" s="1"/>
      <c r="R185" s="1"/>
      <c r="S185" s="1"/>
      <c r="T185" s="1"/>
      <c r="U185" s="1"/>
      <c r="V185" s="1"/>
      <c r="W185" s="1"/>
      <c r="X185" s="1"/>
      <c r="Y185" s="1"/>
      <c r="Z185" s="1"/>
      <c r="AA185" s="1"/>
      <c r="AB185" s="1"/>
      <c r="AC185" s="1"/>
    </row>
    <row r="186" spans="1:29" s="23" customFormat="1" ht="16.5" customHeight="1" x14ac:dyDescent="0.15">
      <c r="A186" s="2"/>
      <c r="B186" s="2"/>
      <c r="C186" s="2"/>
      <c r="D186" s="2"/>
      <c r="E186" s="2"/>
      <c r="H186" s="1"/>
      <c r="I186" s="96"/>
      <c r="M186" s="1"/>
      <c r="N186" s="1"/>
      <c r="O186" s="1"/>
      <c r="P186" s="1"/>
      <c r="Q186" s="1"/>
      <c r="R186" s="1"/>
      <c r="S186" s="1"/>
      <c r="T186" s="1"/>
      <c r="U186" s="1"/>
      <c r="V186" s="1"/>
      <c r="W186" s="1"/>
      <c r="X186" s="1"/>
      <c r="Y186" s="1"/>
      <c r="Z186" s="1"/>
      <c r="AA186" s="1"/>
      <c r="AB186" s="1"/>
      <c r="AC186" s="1"/>
    </row>
    <row r="187" spans="1:29" s="23" customFormat="1" ht="16.5" customHeight="1" x14ac:dyDescent="0.15">
      <c r="A187" s="2"/>
      <c r="B187" s="2"/>
      <c r="C187" s="2"/>
      <c r="D187" s="2"/>
      <c r="E187" s="2"/>
      <c r="H187" s="1"/>
      <c r="I187" s="96"/>
      <c r="M187" s="1"/>
      <c r="N187" s="1"/>
      <c r="O187" s="1"/>
      <c r="P187" s="1"/>
      <c r="Q187" s="1"/>
      <c r="R187" s="1"/>
      <c r="S187" s="1"/>
      <c r="T187" s="1"/>
      <c r="U187" s="1"/>
      <c r="V187" s="1"/>
      <c r="W187" s="1"/>
      <c r="X187" s="1"/>
      <c r="Y187" s="1"/>
      <c r="Z187" s="1"/>
      <c r="AA187" s="1"/>
      <c r="AB187" s="1"/>
      <c r="AC187" s="1"/>
    </row>
    <row r="188" spans="1:29" s="23" customFormat="1" ht="16.5" customHeight="1" x14ac:dyDescent="0.15">
      <c r="A188" s="2"/>
      <c r="B188" s="2"/>
      <c r="C188" s="2"/>
      <c r="D188" s="2"/>
      <c r="E188" s="2"/>
      <c r="H188" s="1"/>
      <c r="I188" s="96"/>
      <c r="M188" s="1"/>
      <c r="N188" s="1"/>
      <c r="O188" s="1"/>
      <c r="P188" s="1"/>
      <c r="Q188" s="1"/>
      <c r="R188" s="1"/>
      <c r="S188" s="1"/>
      <c r="T188" s="1"/>
      <c r="U188" s="1"/>
      <c r="V188" s="1"/>
      <c r="W188" s="1"/>
      <c r="X188" s="1"/>
      <c r="Y188" s="1"/>
      <c r="Z188" s="1"/>
      <c r="AA188" s="1"/>
      <c r="AB188" s="1"/>
      <c r="AC188" s="1"/>
    </row>
    <row r="189" spans="1:29" s="23" customFormat="1" ht="16.5" customHeight="1" x14ac:dyDescent="0.15">
      <c r="A189" s="2"/>
      <c r="B189" s="2"/>
      <c r="C189" s="2"/>
      <c r="D189" s="2"/>
      <c r="E189" s="2"/>
      <c r="H189" s="1"/>
      <c r="I189" s="96"/>
      <c r="M189" s="1"/>
      <c r="N189" s="1"/>
      <c r="O189" s="1"/>
      <c r="P189" s="1"/>
      <c r="Q189" s="1"/>
      <c r="R189" s="1"/>
      <c r="S189" s="1"/>
      <c r="T189" s="1"/>
      <c r="U189" s="1"/>
      <c r="V189" s="1"/>
      <c r="W189" s="1"/>
      <c r="X189" s="1"/>
      <c r="Y189" s="1"/>
      <c r="Z189" s="1"/>
      <c r="AA189" s="1"/>
      <c r="AB189" s="1"/>
      <c r="AC189" s="1"/>
    </row>
    <row r="190" spans="1:29" s="23" customFormat="1" ht="16.5" customHeight="1" x14ac:dyDescent="0.15">
      <c r="A190" s="2"/>
      <c r="B190" s="2"/>
      <c r="C190" s="2"/>
      <c r="D190" s="2"/>
      <c r="E190" s="2"/>
      <c r="H190" s="1"/>
      <c r="I190" s="96"/>
      <c r="M190" s="1"/>
      <c r="N190" s="1"/>
      <c r="O190" s="1"/>
      <c r="P190" s="1"/>
      <c r="Q190" s="1"/>
      <c r="R190" s="1"/>
      <c r="S190" s="1"/>
      <c r="T190" s="1"/>
      <c r="U190" s="1"/>
      <c r="V190" s="1"/>
      <c r="W190" s="1"/>
      <c r="X190" s="1"/>
      <c r="Y190" s="1"/>
      <c r="Z190" s="1"/>
      <c r="AA190" s="1"/>
      <c r="AB190" s="1"/>
      <c r="AC190" s="1"/>
    </row>
    <row r="191" spans="1:29" s="23" customFormat="1" ht="16.5" customHeight="1" x14ac:dyDescent="0.15">
      <c r="A191" s="2"/>
      <c r="B191" s="2"/>
      <c r="C191" s="2"/>
      <c r="D191" s="2"/>
      <c r="E191" s="2"/>
      <c r="H191" s="1"/>
      <c r="I191" s="96"/>
      <c r="M191" s="1"/>
      <c r="N191" s="1"/>
      <c r="O191" s="1"/>
      <c r="P191" s="1"/>
      <c r="Q191" s="1"/>
      <c r="R191" s="1"/>
      <c r="S191" s="1"/>
      <c r="T191" s="1"/>
      <c r="U191" s="1"/>
      <c r="V191" s="1"/>
      <c r="W191" s="1"/>
      <c r="X191" s="1"/>
      <c r="Y191" s="1"/>
      <c r="Z191" s="1"/>
      <c r="AA191" s="1"/>
      <c r="AB191" s="1"/>
      <c r="AC191" s="1"/>
    </row>
    <row r="192" spans="1:29" s="23" customFormat="1" ht="16.5" customHeight="1" x14ac:dyDescent="0.15">
      <c r="A192" s="2"/>
      <c r="B192" s="2"/>
      <c r="C192" s="2"/>
      <c r="D192" s="2"/>
      <c r="E192" s="2"/>
      <c r="H192" s="1"/>
      <c r="I192" s="96"/>
      <c r="M192" s="1"/>
      <c r="N192" s="1"/>
      <c r="O192" s="1"/>
      <c r="P192" s="1"/>
      <c r="Q192" s="1"/>
      <c r="R192" s="1"/>
      <c r="S192" s="1"/>
      <c r="T192" s="1"/>
      <c r="U192" s="1"/>
      <c r="V192" s="1"/>
      <c r="W192" s="1"/>
      <c r="X192" s="1"/>
      <c r="Y192" s="1"/>
      <c r="Z192" s="1"/>
      <c r="AA192" s="1"/>
      <c r="AB192" s="1"/>
      <c r="AC192" s="1"/>
    </row>
    <row r="193" spans="1:29" s="23" customFormat="1" ht="16.5" customHeight="1" x14ac:dyDescent="0.15">
      <c r="A193" s="2"/>
      <c r="B193" s="2"/>
      <c r="C193" s="2"/>
      <c r="D193" s="2"/>
      <c r="E193" s="2"/>
      <c r="H193" s="1"/>
      <c r="I193" s="96"/>
      <c r="M193" s="1"/>
      <c r="N193" s="1"/>
      <c r="O193" s="1"/>
      <c r="P193" s="1"/>
      <c r="Q193" s="1"/>
      <c r="R193" s="1"/>
      <c r="S193" s="1"/>
      <c r="T193" s="1"/>
      <c r="U193" s="1"/>
      <c r="V193" s="1"/>
      <c r="W193" s="1"/>
      <c r="X193" s="1"/>
      <c r="Y193" s="1"/>
      <c r="Z193" s="1"/>
      <c r="AA193" s="1"/>
      <c r="AB193" s="1"/>
      <c r="AC193" s="1"/>
    </row>
    <row r="194" spans="1:29" s="23" customFormat="1" ht="16.5" customHeight="1" x14ac:dyDescent="0.15">
      <c r="A194" s="2"/>
      <c r="B194" s="2"/>
      <c r="C194" s="2"/>
      <c r="D194" s="2"/>
      <c r="E194" s="2"/>
      <c r="H194" s="1"/>
      <c r="I194" s="96"/>
      <c r="M194" s="1"/>
      <c r="N194" s="1"/>
      <c r="O194" s="1"/>
      <c r="P194" s="1"/>
      <c r="Q194" s="1"/>
      <c r="R194" s="1"/>
      <c r="S194" s="1"/>
      <c r="T194" s="1"/>
      <c r="U194" s="1"/>
      <c r="V194" s="1"/>
      <c r="W194" s="1"/>
      <c r="X194" s="1"/>
      <c r="Y194" s="1"/>
      <c r="Z194" s="1"/>
      <c r="AA194" s="1"/>
      <c r="AB194" s="1"/>
      <c r="AC194" s="1"/>
    </row>
    <row r="195" spans="1:29" s="23" customFormat="1" ht="16.5" customHeight="1" x14ac:dyDescent="0.15">
      <c r="A195" s="2"/>
      <c r="B195" s="2"/>
      <c r="C195" s="2"/>
      <c r="D195" s="2"/>
      <c r="E195" s="2"/>
      <c r="H195" s="1"/>
      <c r="I195" s="96"/>
      <c r="M195" s="1"/>
      <c r="N195" s="1"/>
      <c r="O195" s="1"/>
      <c r="P195" s="1"/>
      <c r="Q195" s="1"/>
      <c r="R195" s="1"/>
      <c r="S195" s="1"/>
      <c r="T195" s="1"/>
      <c r="U195" s="1"/>
      <c r="V195" s="1"/>
      <c r="W195" s="1"/>
      <c r="X195" s="1"/>
      <c r="Y195" s="1"/>
      <c r="Z195" s="1"/>
      <c r="AA195" s="1"/>
      <c r="AB195" s="1"/>
      <c r="AC195" s="1"/>
    </row>
    <row r="196" spans="1:29" s="23" customFormat="1" ht="16.5" customHeight="1" x14ac:dyDescent="0.15">
      <c r="A196" s="2"/>
      <c r="B196" s="2"/>
      <c r="C196" s="2"/>
      <c r="D196" s="2"/>
      <c r="E196" s="2"/>
      <c r="H196" s="1"/>
      <c r="I196" s="96"/>
      <c r="M196" s="1"/>
      <c r="N196" s="1"/>
      <c r="O196" s="1"/>
      <c r="P196" s="1"/>
      <c r="Q196" s="1"/>
      <c r="R196" s="1"/>
      <c r="S196" s="1"/>
      <c r="T196" s="1"/>
      <c r="U196" s="1"/>
      <c r="V196" s="1"/>
      <c r="W196" s="1"/>
      <c r="X196" s="1"/>
      <c r="Y196" s="1"/>
      <c r="Z196" s="1"/>
      <c r="AA196" s="1"/>
      <c r="AB196" s="1"/>
      <c r="AC196" s="1"/>
    </row>
    <row r="197" spans="1:29" s="23" customFormat="1" ht="16.5" customHeight="1" x14ac:dyDescent="0.15">
      <c r="A197" s="2"/>
      <c r="B197" s="2"/>
      <c r="C197" s="2"/>
      <c r="D197" s="2"/>
      <c r="E197" s="2"/>
      <c r="H197" s="1"/>
      <c r="I197" s="96"/>
      <c r="M197" s="1"/>
      <c r="N197" s="1"/>
      <c r="O197" s="1"/>
      <c r="P197" s="1"/>
      <c r="Q197" s="1"/>
      <c r="R197" s="1"/>
      <c r="S197" s="1"/>
      <c r="T197" s="1"/>
      <c r="U197" s="1"/>
      <c r="V197" s="1"/>
      <c r="W197" s="1"/>
      <c r="X197" s="1"/>
      <c r="Y197" s="1"/>
      <c r="Z197" s="1"/>
      <c r="AA197" s="1"/>
      <c r="AB197" s="1"/>
      <c r="AC197" s="1"/>
    </row>
    <row r="198" spans="1:29" s="23" customFormat="1" ht="16.5" customHeight="1" x14ac:dyDescent="0.15">
      <c r="A198" s="2"/>
      <c r="B198" s="2"/>
      <c r="C198" s="2"/>
      <c r="D198" s="2"/>
      <c r="E198" s="2"/>
      <c r="H198" s="1"/>
      <c r="I198" s="96"/>
      <c r="M198" s="1"/>
      <c r="N198" s="1"/>
      <c r="O198" s="1"/>
      <c r="P198" s="1"/>
      <c r="Q198" s="1"/>
      <c r="R198" s="1"/>
      <c r="S198" s="1"/>
      <c r="T198" s="1"/>
      <c r="U198" s="1"/>
      <c r="V198" s="1"/>
      <c r="W198" s="1"/>
      <c r="X198" s="1"/>
      <c r="Y198" s="1"/>
      <c r="Z198" s="1"/>
      <c r="AA198" s="1"/>
      <c r="AB198" s="1"/>
      <c r="AC198" s="1"/>
    </row>
    <row r="199" spans="1:29" s="23" customFormat="1" ht="16.5" customHeight="1" x14ac:dyDescent="0.15">
      <c r="A199" s="2"/>
      <c r="B199" s="2"/>
      <c r="C199" s="2"/>
      <c r="D199" s="2"/>
      <c r="E199" s="2"/>
      <c r="H199" s="1"/>
      <c r="I199" s="96"/>
      <c r="M199" s="1"/>
      <c r="N199" s="1"/>
      <c r="O199" s="1"/>
      <c r="P199" s="1"/>
      <c r="Q199" s="1"/>
      <c r="R199" s="1"/>
      <c r="S199" s="1"/>
      <c r="T199" s="1"/>
      <c r="U199" s="1"/>
      <c r="V199" s="1"/>
      <c r="W199" s="1"/>
      <c r="X199" s="1"/>
      <c r="Y199" s="1"/>
      <c r="Z199" s="1"/>
      <c r="AA199" s="1"/>
      <c r="AB199" s="1"/>
      <c r="AC199" s="1"/>
    </row>
    <row r="200" spans="1:29" s="23" customFormat="1" ht="16.5" customHeight="1" x14ac:dyDescent="0.15">
      <c r="A200" s="2"/>
      <c r="B200" s="2"/>
      <c r="C200" s="2"/>
      <c r="D200" s="2"/>
      <c r="E200" s="2"/>
      <c r="H200" s="1"/>
      <c r="I200" s="96"/>
      <c r="M200" s="1"/>
      <c r="N200" s="1"/>
      <c r="O200" s="1"/>
      <c r="P200" s="1"/>
      <c r="Q200" s="1"/>
      <c r="R200" s="1"/>
      <c r="S200" s="1"/>
      <c r="T200" s="1"/>
      <c r="U200" s="1"/>
      <c r="V200" s="1"/>
      <c r="W200" s="1"/>
      <c r="X200" s="1"/>
      <c r="Y200" s="1"/>
      <c r="Z200" s="1"/>
      <c r="AA200" s="1"/>
      <c r="AB200" s="1"/>
      <c r="AC200" s="1"/>
    </row>
    <row r="201" spans="1:29" s="23" customFormat="1" ht="16.5" customHeight="1" x14ac:dyDescent="0.15">
      <c r="A201" s="2"/>
      <c r="B201" s="2"/>
      <c r="C201" s="2"/>
      <c r="D201" s="2"/>
      <c r="E201" s="2"/>
      <c r="H201" s="1"/>
      <c r="I201" s="96"/>
      <c r="M201" s="1"/>
      <c r="N201" s="1"/>
      <c r="O201" s="1"/>
      <c r="P201" s="1"/>
      <c r="Q201" s="1"/>
      <c r="R201" s="1"/>
      <c r="S201" s="1"/>
      <c r="T201" s="1"/>
      <c r="U201" s="1"/>
      <c r="V201" s="1"/>
      <c r="W201" s="1"/>
      <c r="X201" s="1"/>
      <c r="Y201" s="1"/>
      <c r="Z201" s="1"/>
      <c r="AA201" s="1"/>
      <c r="AB201" s="1"/>
      <c r="AC201" s="1"/>
    </row>
    <row r="202" spans="1:29" s="23" customFormat="1" ht="16.5" customHeight="1" x14ac:dyDescent="0.15">
      <c r="A202" s="2"/>
      <c r="B202" s="2"/>
      <c r="C202" s="2"/>
      <c r="D202" s="2"/>
      <c r="E202" s="2"/>
      <c r="H202" s="1"/>
      <c r="I202" s="96"/>
      <c r="M202" s="1"/>
      <c r="N202" s="1"/>
      <c r="O202" s="1"/>
      <c r="P202" s="1"/>
      <c r="Q202" s="1"/>
      <c r="R202" s="1"/>
      <c r="S202" s="1"/>
      <c r="T202" s="1"/>
      <c r="U202" s="1"/>
      <c r="V202" s="1"/>
      <c r="W202" s="1"/>
      <c r="X202" s="1"/>
      <c r="Y202" s="1"/>
      <c r="Z202" s="1"/>
      <c r="AA202" s="1"/>
      <c r="AB202" s="1"/>
      <c r="AC202" s="1"/>
    </row>
    <row r="203" spans="1:29" s="23" customFormat="1" ht="16.5" customHeight="1" x14ac:dyDescent="0.15">
      <c r="A203" s="2"/>
      <c r="B203" s="2"/>
      <c r="C203" s="2"/>
      <c r="D203" s="2"/>
      <c r="E203" s="2"/>
      <c r="H203" s="1"/>
      <c r="I203" s="96"/>
      <c r="M203" s="1"/>
      <c r="N203" s="1"/>
      <c r="O203" s="1"/>
      <c r="P203" s="1"/>
      <c r="Q203" s="1"/>
      <c r="R203" s="1"/>
      <c r="S203" s="1"/>
      <c r="T203" s="1"/>
      <c r="U203" s="1"/>
      <c r="V203" s="1"/>
      <c r="W203" s="1"/>
      <c r="X203" s="1"/>
      <c r="Y203" s="1"/>
      <c r="Z203" s="1"/>
      <c r="AA203" s="1"/>
      <c r="AB203" s="1"/>
      <c r="AC203" s="1"/>
    </row>
    <row r="204" spans="1:29" s="23" customFormat="1" ht="16.5" customHeight="1" x14ac:dyDescent="0.15">
      <c r="A204" s="2"/>
      <c r="B204" s="2"/>
      <c r="C204" s="2"/>
      <c r="D204" s="2"/>
      <c r="E204" s="2"/>
      <c r="H204" s="1"/>
      <c r="I204" s="96"/>
      <c r="M204" s="1"/>
      <c r="N204" s="1"/>
      <c r="O204" s="1"/>
      <c r="P204" s="1"/>
      <c r="Q204" s="1"/>
      <c r="R204" s="1"/>
      <c r="S204" s="1"/>
      <c r="T204" s="1"/>
      <c r="U204" s="1"/>
      <c r="V204" s="1"/>
      <c r="W204" s="1"/>
      <c r="X204" s="1"/>
      <c r="Y204" s="1"/>
      <c r="Z204" s="1"/>
      <c r="AA204" s="1"/>
      <c r="AB204" s="1"/>
      <c r="AC204" s="1"/>
    </row>
    <row r="205" spans="1:29" s="23" customFormat="1" ht="16.5" customHeight="1" x14ac:dyDescent="0.15">
      <c r="A205" s="2"/>
      <c r="B205" s="2"/>
      <c r="C205" s="2"/>
      <c r="D205" s="2"/>
      <c r="E205" s="2"/>
      <c r="H205" s="1"/>
      <c r="I205" s="96"/>
      <c r="M205" s="1"/>
      <c r="N205" s="1"/>
      <c r="O205" s="1"/>
      <c r="P205" s="1"/>
      <c r="Q205" s="1"/>
      <c r="R205" s="1"/>
      <c r="S205" s="1"/>
      <c r="T205" s="1"/>
      <c r="U205" s="1"/>
      <c r="V205" s="1"/>
      <c r="W205" s="1"/>
      <c r="X205" s="1"/>
      <c r="Y205" s="1"/>
      <c r="Z205" s="1"/>
      <c r="AA205" s="1"/>
      <c r="AB205" s="1"/>
      <c r="AC205" s="1"/>
    </row>
    <row r="206" spans="1:29" s="23" customFormat="1" ht="16.5" customHeight="1" x14ac:dyDescent="0.15">
      <c r="A206" s="2"/>
      <c r="B206" s="2"/>
      <c r="C206" s="2"/>
      <c r="D206" s="2"/>
      <c r="E206" s="2"/>
      <c r="H206" s="1"/>
      <c r="I206" s="96"/>
      <c r="M206" s="1"/>
      <c r="N206" s="1"/>
      <c r="O206" s="1"/>
      <c r="P206" s="1"/>
      <c r="Q206" s="1"/>
      <c r="R206" s="1"/>
      <c r="S206" s="1"/>
      <c r="T206" s="1"/>
      <c r="U206" s="1"/>
      <c r="V206" s="1"/>
      <c r="W206" s="1"/>
      <c r="X206" s="1"/>
      <c r="Y206" s="1"/>
      <c r="Z206" s="1"/>
      <c r="AA206" s="1"/>
      <c r="AB206" s="1"/>
      <c r="AC206" s="1"/>
    </row>
    <row r="207" spans="1:29" s="23" customFormat="1" ht="16.5" customHeight="1" x14ac:dyDescent="0.15">
      <c r="A207" s="2"/>
      <c r="B207" s="2"/>
      <c r="C207" s="2"/>
      <c r="D207" s="2"/>
      <c r="E207" s="2"/>
      <c r="H207" s="1"/>
      <c r="I207" s="96"/>
      <c r="M207" s="1"/>
      <c r="N207" s="1"/>
      <c r="O207" s="1"/>
      <c r="P207" s="1"/>
      <c r="Q207" s="1"/>
      <c r="R207" s="1"/>
      <c r="S207" s="1"/>
      <c r="T207" s="1"/>
      <c r="U207" s="1"/>
      <c r="V207" s="1"/>
      <c r="W207" s="1"/>
      <c r="X207" s="1"/>
      <c r="Y207" s="1"/>
      <c r="Z207" s="1"/>
      <c r="AA207" s="1"/>
      <c r="AB207" s="1"/>
      <c r="AC207" s="1"/>
    </row>
    <row r="208" spans="1:29" s="23" customFormat="1" ht="16.5" customHeight="1" x14ac:dyDescent="0.15">
      <c r="A208" s="2"/>
      <c r="B208" s="2"/>
      <c r="C208" s="2"/>
      <c r="D208" s="2"/>
      <c r="E208" s="2"/>
      <c r="H208" s="1"/>
      <c r="I208" s="96"/>
      <c r="M208" s="1"/>
      <c r="N208" s="1"/>
      <c r="O208" s="1"/>
      <c r="P208" s="1"/>
      <c r="Q208" s="1"/>
      <c r="R208" s="1"/>
      <c r="S208" s="1"/>
      <c r="T208" s="1"/>
      <c r="U208" s="1"/>
      <c r="V208" s="1"/>
      <c r="W208" s="1"/>
      <c r="X208" s="1"/>
      <c r="Y208" s="1"/>
      <c r="Z208" s="1"/>
      <c r="AA208" s="1"/>
      <c r="AB208" s="1"/>
      <c r="AC208" s="1"/>
    </row>
    <row r="209" spans="1:29" s="23" customFormat="1" ht="16.5" customHeight="1" x14ac:dyDescent="0.15">
      <c r="A209" s="2"/>
      <c r="B209" s="2"/>
      <c r="C209" s="2"/>
      <c r="D209" s="2"/>
      <c r="E209" s="2"/>
      <c r="H209" s="1"/>
      <c r="I209" s="96"/>
      <c r="M209" s="1"/>
      <c r="N209" s="1"/>
      <c r="O209" s="1"/>
      <c r="P209" s="1"/>
      <c r="Q209" s="1"/>
      <c r="R209" s="1"/>
      <c r="S209" s="1"/>
      <c r="T209" s="1"/>
      <c r="U209" s="1"/>
      <c r="V209" s="1"/>
      <c r="W209" s="1"/>
      <c r="X209" s="1"/>
      <c r="Y209" s="1"/>
      <c r="Z209" s="1"/>
      <c r="AA209" s="1"/>
      <c r="AB209" s="1"/>
      <c r="AC209" s="1"/>
    </row>
    <row r="210" spans="1:29" s="23" customFormat="1" ht="16.5" customHeight="1" x14ac:dyDescent="0.15">
      <c r="A210" s="2"/>
      <c r="B210" s="2"/>
      <c r="C210" s="2"/>
      <c r="D210" s="2"/>
      <c r="E210" s="2"/>
      <c r="H210" s="1"/>
      <c r="I210" s="96"/>
      <c r="M210" s="1"/>
      <c r="N210" s="1"/>
      <c r="O210" s="1"/>
      <c r="P210" s="1"/>
      <c r="Q210" s="1"/>
      <c r="R210" s="1"/>
      <c r="S210" s="1"/>
      <c r="T210" s="1"/>
      <c r="U210" s="1"/>
      <c r="V210" s="1"/>
      <c r="W210" s="1"/>
      <c r="X210" s="1"/>
      <c r="Y210" s="1"/>
      <c r="Z210" s="1"/>
      <c r="AA210" s="1"/>
      <c r="AB210" s="1"/>
      <c r="AC210" s="1"/>
    </row>
    <row r="211" spans="1:29" s="23" customFormat="1" ht="16.5" customHeight="1" x14ac:dyDescent="0.15">
      <c r="A211" s="2"/>
      <c r="B211" s="2"/>
      <c r="C211" s="2"/>
      <c r="D211" s="2"/>
      <c r="E211" s="2"/>
      <c r="H211" s="1"/>
      <c r="I211" s="96"/>
      <c r="M211" s="1"/>
      <c r="N211" s="1"/>
      <c r="O211" s="1"/>
      <c r="P211" s="1"/>
      <c r="Q211" s="1"/>
      <c r="R211" s="1"/>
      <c r="S211" s="1"/>
      <c r="T211" s="1"/>
      <c r="U211" s="1"/>
      <c r="V211" s="1"/>
      <c r="W211" s="1"/>
      <c r="X211" s="1"/>
      <c r="Y211" s="1"/>
      <c r="Z211" s="1"/>
      <c r="AA211" s="1"/>
      <c r="AB211" s="1"/>
      <c r="AC211" s="1"/>
    </row>
    <row r="212" spans="1:29" s="23" customFormat="1" ht="16.5" customHeight="1" x14ac:dyDescent="0.15">
      <c r="A212" s="2"/>
      <c r="B212" s="2"/>
      <c r="C212" s="2"/>
      <c r="D212" s="2"/>
      <c r="E212" s="2"/>
      <c r="H212" s="1"/>
      <c r="I212" s="96"/>
      <c r="M212" s="1"/>
      <c r="N212" s="1"/>
      <c r="O212" s="1"/>
      <c r="P212" s="1"/>
      <c r="Q212" s="1"/>
      <c r="R212" s="1"/>
      <c r="S212" s="1"/>
      <c r="T212" s="1"/>
      <c r="U212" s="1"/>
      <c r="V212" s="1"/>
      <c r="W212" s="1"/>
      <c r="X212" s="1"/>
      <c r="Y212" s="1"/>
      <c r="Z212" s="1"/>
      <c r="AA212" s="1"/>
      <c r="AB212" s="1"/>
      <c r="AC212" s="1"/>
    </row>
    <row r="213" spans="1:29" s="23" customFormat="1" ht="16.5" customHeight="1" x14ac:dyDescent="0.15">
      <c r="A213" s="2"/>
      <c r="B213" s="2"/>
      <c r="C213" s="2"/>
      <c r="D213" s="2"/>
      <c r="E213" s="2"/>
      <c r="H213" s="1"/>
      <c r="I213" s="96"/>
      <c r="M213" s="1"/>
      <c r="N213" s="1"/>
      <c r="O213" s="1"/>
      <c r="P213" s="1"/>
      <c r="Q213" s="1"/>
      <c r="R213" s="1"/>
      <c r="S213" s="1"/>
      <c r="T213" s="1"/>
      <c r="U213" s="1"/>
      <c r="V213" s="1"/>
      <c r="W213" s="1"/>
      <c r="X213" s="1"/>
      <c r="Y213" s="1"/>
      <c r="Z213" s="1"/>
      <c r="AA213" s="1"/>
      <c r="AB213" s="1"/>
      <c r="AC213" s="1"/>
    </row>
    <row r="214" spans="1:29" s="23" customFormat="1" ht="16.5" customHeight="1" x14ac:dyDescent="0.15">
      <c r="A214" s="2"/>
      <c r="B214" s="2"/>
      <c r="C214" s="2"/>
      <c r="D214" s="2"/>
      <c r="E214" s="2"/>
      <c r="H214" s="1"/>
      <c r="I214" s="96"/>
      <c r="M214" s="1"/>
      <c r="N214" s="1"/>
      <c r="O214" s="1"/>
      <c r="P214" s="1"/>
      <c r="Q214" s="1"/>
      <c r="R214" s="1"/>
      <c r="S214" s="1"/>
      <c r="T214" s="1"/>
      <c r="U214" s="1"/>
      <c r="V214" s="1"/>
      <c r="W214" s="1"/>
      <c r="X214" s="1"/>
      <c r="Y214" s="1"/>
      <c r="Z214" s="1"/>
      <c r="AA214" s="1"/>
      <c r="AB214" s="1"/>
      <c r="AC214" s="1"/>
    </row>
    <row r="215" spans="1:29" s="23" customFormat="1" ht="16.5" customHeight="1" x14ac:dyDescent="0.15">
      <c r="A215" s="2"/>
      <c r="B215" s="2"/>
      <c r="C215" s="2"/>
      <c r="D215" s="2"/>
      <c r="E215" s="2"/>
      <c r="H215" s="1"/>
      <c r="I215" s="96"/>
      <c r="M215" s="1"/>
      <c r="N215" s="1"/>
      <c r="O215" s="1"/>
      <c r="P215" s="1"/>
      <c r="Q215" s="1"/>
      <c r="R215" s="1"/>
      <c r="S215" s="1"/>
      <c r="T215" s="1"/>
      <c r="U215" s="1"/>
      <c r="V215" s="1"/>
      <c r="W215" s="1"/>
      <c r="X215" s="1"/>
      <c r="Y215" s="1"/>
      <c r="Z215" s="1"/>
      <c r="AA215" s="1"/>
      <c r="AB215" s="1"/>
      <c r="AC215" s="1"/>
    </row>
    <row r="216" spans="1:29" s="23" customFormat="1" ht="16.5" customHeight="1" x14ac:dyDescent="0.15">
      <c r="A216" s="2"/>
      <c r="B216" s="2"/>
      <c r="C216" s="2"/>
      <c r="D216" s="2"/>
      <c r="E216" s="2"/>
      <c r="H216" s="1"/>
      <c r="I216" s="96"/>
      <c r="M216" s="1"/>
      <c r="N216" s="1"/>
      <c r="O216" s="1"/>
      <c r="P216" s="1"/>
      <c r="Q216" s="1"/>
      <c r="R216" s="1"/>
      <c r="S216" s="1"/>
      <c r="T216" s="1"/>
      <c r="U216" s="1"/>
      <c r="V216" s="1"/>
      <c r="W216" s="1"/>
      <c r="X216" s="1"/>
      <c r="Y216" s="1"/>
      <c r="Z216" s="1"/>
      <c r="AA216" s="1"/>
      <c r="AB216" s="1"/>
      <c r="AC216" s="1"/>
    </row>
    <row r="217" spans="1:29" s="23" customFormat="1" ht="16.5" customHeight="1" x14ac:dyDescent="0.15">
      <c r="A217" s="2"/>
      <c r="B217" s="2"/>
      <c r="C217" s="2"/>
      <c r="D217" s="2"/>
      <c r="E217" s="2"/>
      <c r="H217" s="1"/>
      <c r="I217" s="96"/>
      <c r="M217" s="1"/>
      <c r="N217" s="1"/>
      <c r="O217" s="1"/>
      <c r="P217" s="1"/>
      <c r="Q217" s="1"/>
      <c r="R217" s="1"/>
      <c r="S217" s="1"/>
      <c r="T217" s="1"/>
      <c r="U217" s="1"/>
      <c r="V217" s="1"/>
      <c r="W217" s="1"/>
      <c r="X217" s="1"/>
      <c r="Y217" s="1"/>
      <c r="Z217" s="1"/>
      <c r="AA217" s="1"/>
      <c r="AB217" s="1"/>
      <c r="AC217" s="1"/>
    </row>
    <row r="218" spans="1:29" s="23" customFormat="1" ht="16.5" customHeight="1" x14ac:dyDescent="0.15">
      <c r="A218" s="2"/>
      <c r="B218" s="2"/>
      <c r="C218" s="2"/>
      <c r="D218" s="2"/>
      <c r="E218" s="2"/>
      <c r="H218" s="1"/>
      <c r="I218" s="96"/>
      <c r="M218" s="1"/>
      <c r="N218" s="1"/>
      <c r="O218" s="1"/>
      <c r="P218" s="1"/>
      <c r="Q218" s="1"/>
      <c r="R218" s="1"/>
      <c r="S218" s="1"/>
      <c r="T218" s="1"/>
      <c r="U218" s="1"/>
      <c r="V218" s="1"/>
      <c r="W218" s="1"/>
      <c r="X218" s="1"/>
      <c r="Y218" s="1"/>
      <c r="Z218" s="1"/>
      <c r="AA218" s="1"/>
      <c r="AB218" s="1"/>
      <c r="AC218" s="1"/>
    </row>
    <row r="219" spans="1:29" s="23" customFormat="1" ht="16.5" customHeight="1" x14ac:dyDescent="0.15">
      <c r="A219" s="2"/>
      <c r="B219" s="2"/>
      <c r="C219" s="2"/>
      <c r="D219" s="2"/>
      <c r="E219" s="2"/>
      <c r="H219" s="1"/>
      <c r="I219" s="96"/>
      <c r="M219" s="1"/>
      <c r="N219" s="1"/>
      <c r="O219" s="1"/>
      <c r="P219" s="1"/>
      <c r="Q219" s="1"/>
      <c r="R219" s="1"/>
      <c r="S219" s="1"/>
      <c r="T219" s="1"/>
      <c r="U219" s="1"/>
      <c r="V219" s="1"/>
      <c r="W219" s="1"/>
      <c r="X219" s="1"/>
      <c r="Y219" s="1"/>
      <c r="Z219" s="1"/>
      <c r="AA219" s="1"/>
      <c r="AB219" s="1"/>
      <c r="AC219" s="1"/>
    </row>
    <row r="220" spans="1:29" s="23" customFormat="1" ht="16.5" customHeight="1" x14ac:dyDescent="0.15">
      <c r="A220" s="2"/>
      <c r="B220" s="2"/>
      <c r="C220" s="2"/>
      <c r="D220" s="2"/>
      <c r="E220" s="2"/>
      <c r="H220" s="1"/>
      <c r="I220" s="96"/>
      <c r="M220" s="1"/>
      <c r="N220" s="1"/>
      <c r="O220" s="1"/>
      <c r="P220" s="1"/>
      <c r="Q220" s="1"/>
      <c r="R220" s="1"/>
      <c r="S220" s="1"/>
      <c r="T220" s="1"/>
      <c r="U220" s="1"/>
      <c r="V220" s="1"/>
      <c r="W220" s="1"/>
      <c r="X220" s="1"/>
      <c r="Y220" s="1"/>
      <c r="Z220" s="1"/>
      <c r="AA220" s="1"/>
      <c r="AB220" s="1"/>
      <c r="AC220" s="1"/>
    </row>
    <row r="221" spans="1:29" s="23" customFormat="1" ht="16.5" customHeight="1" x14ac:dyDescent="0.15">
      <c r="A221" s="2"/>
      <c r="B221" s="2"/>
      <c r="C221" s="2"/>
      <c r="D221" s="2"/>
      <c r="E221" s="2"/>
      <c r="H221" s="1"/>
      <c r="I221" s="96"/>
      <c r="M221" s="1"/>
      <c r="N221" s="1"/>
      <c r="O221" s="1"/>
      <c r="P221" s="1"/>
      <c r="Q221" s="1"/>
      <c r="R221" s="1"/>
      <c r="S221" s="1"/>
      <c r="T221" s="1"/>
      <c r="U221" s="1"/>
      <c r="V221" s="1"/>
      <c r="W221" s="1"/>
      <c r="X221" s="1"/>
      <c r="Y221" s="1"/>
      <c r="Z221" s="1"/>
      <c r="AA221" s="1"/>
      <c r="AB221" s="1"/>
      <c r="AC221" s="1"/>
    </row>
    <row r="222" spans="1:29" s="23" customFormat="1" ht="16.5" customHeight="1" x14ac:dyDescent="0.15">
      <c r="A222" s="2"/>
      <c r="B222" s="2"/>
      <c r="C222" s="2"/>
      <c r="D222" s="2"/>
      <c r="E222" s="2"/>
      <c r="H222" s="1"/>
      <c r="I222" s="96"/>
      <c r="M222" s="1"/>
      <c r="N222" s="1"/>
      <c r="O222" s="1"/>
      <c r="P222" s="1"/>
      <c r="Q222" s="1"/>
      <c r="R222" s="1"/>
      <c r="S222" s="1"/>
      <c r="T222" s="1"/>
      <c r="U222" s="1"/>
      <c r="V222" s="1"/>
      <c r="W222" s="1"/>
      <c r="X222" s="1"/>
      <c r="Y222" s="1"/>
      <c r="Z222" s="1"/>
      <c r="AA222" s="1"/>
      <c r="AB222" s="1"/>
      <c r="AC222" s="1"/>
    </row>
    <row r="223" spans="1:29" s="23" customFormat="1" ht="16.5" customHeight="1" x14ac:dyDescent="0.15">
      <c r="A223" s="2"/>
      <c r="B223" s="2"/>
      <c r="C223" s="2"/>
      <c r="D223" s="2"/>
      <c r="E223" s="2"/>
      <c r="H223" s="1"/>
      <c r="I223" s="96"/>
      <c r="M223" s="1"/>
      <c r="N223" s="1"/>
      <c r="O223" s="1"/>
      <c r="P223" s="1"/>
      <c r="Q223" s="1"/>
      <c r="R223" s="1"/>
      <c r="S223" s="1"/>
      <c r="T223" s="1"/>
      <c r="U223" s="1"/>
      <c r="V223" s="1"/>
      <c r="W223" s="1"/>
      <c r="X223" s="1"/>
      <c r="Y223" s="1"/>
      <c r="Z223" s="1"/>
      <c r="AA223" s="1"/>
      <c r="AB223" s="1"/>
      <c r="AC223" s="1"/>
    </row>
    <row r="224" spans="1:29" s="23" customFormat="1" ht="16.5" customHeight="1" x14ac:dyDescent="0.15">
      <c r="A224" s="2"/>
      <c r="B224" s="2"/>
      <c r="C224" s="2"/>
      <c r="D224" s="2"/>
      <c r="E224" s="2"/>
      <c r="H224" s="1"/>
      <c r="I224" s="96"/>
      <c r="M224" s="1"/>
      <c r="N224" s="1"/>
      <c r="O224" s="1"/>
      <c r="P224" s="1"/>
      <c r="Q224" s="1"/>
      <c r="R224" s="1"/>
      <c r="S224" s="1"/>
      <c r="T224" s="1"/>
      <c r="U224" s="1"/>
      <c r="V224" s="1"/>
      <c r="W224" s="1"/>
      <c r="X224" s="1"/>
      <c r="Y224" s="1"/>
      <c r="Z224" s="1"/>
      <c r="AA224" s="1"/>
      <c r="AB224" s="1"/>
      <c r="AC224" s="1"/>
    </row>
    <row r="225" spans="1:29" s="23" customFormat="1" ht="16.5" customHeight="1" x14ac:dyDescent="0.15">
      <c r="A225" s="2"/>
      <c r="B225" s="2"/>
      <c r="C225" s="2"/>
      <c r="D225" s="2"/>
      <c r="E225" s="2"/>
      <c r="H225" s="1"/>
      <c r="I225" s="96"/>
      <c r="M225" s="1"/>
      <c r="N225" s="1"/>
      <c r="O225" s="1"/>
      <c r="P225" s="1"/>
      <c r="Q225" s="1"/>
      <c r="R225" s="1"/>
      <c r="S225" s="1"/>
      <c r="T225" s="1"/>
      <c r="U225" s="1"/>
      <c r="V225" s="1"/>
      <c r="W225" s="1"/>
      <c r="X225" s="1"/>
      <c r="Y225" s="1"/>
      <c r="Z225" s="1"/>
      <c r="AA225" s="1"/>
      <c r="AB225" s="1"/>
      <c r="AC225" s="1"/>
    </row>
    <row r="226" spans="1:29" s="23" customFormat="1" ht="16.5" customHeight="1" x14ac:dyDescent="0.15">
      <c r="A226" s="2"/>
      <c r="B226" s="2"/>
      <c r="C226" s="2"/>
      <c r="D226" s="2"/>
      <c r="E226" s="2"/>
      <c r="H226" s="1"/>
      <c r="I226" s="96"/>
      <c r="M226" s="1"/>
      <c r="N226" s="1"/>
      <c r="O226" s="1"/>
      <c r="P226" s="1"/>
      <c r="Q226" s="1"/>
      <c r="R226" s="1"/>
      <c r="S226" s="1"/>
      <c r="T226" s="1"/>
      <c r="U226" s="1"/>
      <c r="V226" s="1"/>
      <c r="W226" s="1"/>
      <c r="X226" s="1"/>
      <c r="Y226" s="1"/>
      <c r="Z226" s="1"/>
      <c r="AA226" s="1"/>
      <c r="AB226" s="1"/>
      <c r="AC226" s="1"/>
    </row>
    <row r="227" spans="1:29" s="23" customFormat="1" ht="16.5" customHeight="1" x14ac:dyDescent="0.15">
      <c r="A227" s="2"/>
      <c r="B227" s="2"/>
      <c r="C227" s="2"/>
      <c r="D227" s="2"/>
      <c r="E227" s="2"/>
      <c r="H227" s="1"/>
      <c r="I227" s="96"/>
      <c r="M227" s="1"/>
      <c r="N227" s="1"/>
      <c r="O227" s="1"/>
      <c r="P227" s="1"/>
      <c r="Q227" s="1"/>
      <c r="R227" s="1"/>
      <c r="S227" s="1"/>
      <c r="T227" s="1"/>
      <c r="U227" s="1"/>
      <c r="V227" s="1"/>
      <c r="W227" s="1"/>
      <c r="X227" s="1"/>
      <c r="Y227" s="1"/>
      <c r="Z227" s="1"/>
      <c r="AA227" s="1"/>
      <c r="AB227" s="1"/>
      <c r="AC227" s="1"/>
    </row>
    <row r="228" spans="1:29" s="23" customFormat="1" ht="16.5" customHeight="1" x14ac:dyDescent="0.15">
      <c r="A228" s="2"/>
      <c r="B228" s="2"/>
      <c r="C228" s="2"/>
      <c r="D228" s="2"/>
      <c r="E228" s="2"/>
      <c r="H228" s="1"/>
      <c r="I228" s="96"/>
      <c r="M228" s="1"/>
      <c r="N228" s="1"/>
      <c r="O228" s="1"/>
      <c r="P228" s="1"/>
      <c r="Q228" s="1"/>
      <c r="R228" s="1"/>
      <c r="S228" s="1"/>
      <c r="T228" s="1"/>
      <c r="U228" s="1"/>
      <c r="V228" s="1"/>
      <c r="W228" s="1"/>
      <c r="X228" s="1"/>
      <c r="Y228" s="1"/>
      <c r="Z228" s="1"/>
      <c r="AA228" s="1"/>
      <c r="AB228" s="1"/>
      <c r="AC228" s="1"/>
    </row>
    <row r="229" spans="1:29" s="23" customFormat="1" ht="16.5" customHeight="1" x14ac:dyDescent="0.15">
      <c r="A229" s="2"/>
      <c r="B229" s="2"/>
      <c r="C229" s="2"/>
      <c r="D229" s="2"/>
      <c r="E229" s="2"/>
      <c r="H229" s="1"/>
      <c r="I229" s="96"/>
      <c r="M229" s="1"/>
      <c r="N229" s="1"/>
      <c r="O229" s="1"/>
      <c r="P229" s="1"/>
      <c r="Q229" s="1"/>
      <c r="R229" s="1"/>
      <c r="S229" s="1"/>
      <c r="T229" s="1"/>
      <c r="U229" s="1"/>
      <c r="V229" s="1"/>
      <c r="W229" s="1"/>
      <c r="X229" s="1"/>
      <c r="Y229" s="1"/>
      <c r="Z229" s="1"/>
      <c r="AA229" s="1"/>
      <c r="AB229" s="1"/>
      <c r="AC229" s="1"/>
    </row>
    <row r="230" spans="1:29" s="23" customFormat="1" ht="16.5" customHeight="1" x14ac:dyDescent="0.15">
      <c r="A230" s="2"/>
      <c r="B230" s="2"/>
      <c r="C230" s="2"/>
      <c r="D230" s="2"/>
      <c r="E230" s="2"/>
      <c r="H230" s="1"/>
      <c r="I230" s="96"/>
      <c r="M230" s="1"/>
      <c r="N230" s="1"/>
      <c r="O230" s="1"/>
      <c r="P230" s="1"/>
      <c r="Q230" s="1"/>
      <c r="R230" s="1"/>
      <c r="S230" s="1"/>
      <c r="T230" s="1"/>
      <c r="U230" s="1"/>
      <c r="V230" s="1"/>
      <c r="W230" s="1"/>
      <c r="X230" s="1"/>
      <c r="Y230" s="1"/>
      <c r="Z230" s="1"/>
      <c r="AA230" s="1"/>
      <c r="AB230" s="1"/>
      <c r="AC230" s="1"/>
    </row>
    <row r="231" spans="1:29" s="23" customFormat="1" ht="16.5" customHeight="1" x14ac:dyDescent="0.15">
      <c r="A231" s="2"/>
      <c r="B231" s="2"/>
      <c r="C231" s="2"/>
      <c r="D231" s="2"/>
      <c r="E231" s="2"/>
      <c r="H231" s="1"/>
      <c r="I231" s="96"/>
      <c r="M231" s="1"/>
      <c r="N231" s="1"/>
      <c r="O231" s="1"/>
      <c r="P231" s="1"/>
      <c r="Q231" s="1"/>
      <c r="R231" s="1"/>
      <c r="S231" s="1"/>
      <c r="T231" s="1"/>
      <c r="U231" s="1"/>
      <c r="V231" s="1"/>
      <c r="W231" s="1"/>
      <c r="X231" s="1"/>
      <c r="Y231" s="1"/>
      <c r="Z231" s="1"/>
      <c r="AA231" s="1"/>
      <c r="AB231" s="1"/>
      <c r="AC231" s="1"/>
    </row>
    <row r="232" spans="1:29" s="23" customFormat="1" ht="16.5" customHeight="1" x14ac:dyDescent="0.15">
      <c r="A232" s="2"/>
      <c r="B232" s="2"/>
      <c r="C232" s="2"/>
      <c r="D232" s="2"/>
      <c r="E232" s="2"/>
      <c r="H232" s="1"/>
      <c r="I232" s="96"/>
      <c r="M232" s="1"/>
      <c r="N232" s="1"/>
      <c r="O232" s="1"/>
      <c r="P232" s="1"/>
      <c r="Q232" s="1"/>
      <c r="R232" s="1"/>
      <c r="S232" s="1"/>
      <c r="T232" s="1"/>
      <c r="U232" s="1"/>
      <c r="V232" s="1"/>
      <c r="W232" s="1"/>
      <c r="X232" s="1"/>
      <c r="Y232" s="1"/>
      <c r="Z232" s="1"/>
      <c r="AA232" s="1"/>
      <c r="AB232" s="1"/>
      <c r="AC232" s="1"/>
    </row>
    <row r="233" spans="1:29" s="23" customFormat="1" ht="16.5" customHeight="1" x14ac:dyDescent="0.15">
      <c r="A233" s="2"/>
      <c r="B233" s="2"/>
      <c r="C233" s="2"/>
      <c r="D233" s="2"/>
      <c r="E233" s="2"/>
      <c r="H233" s="1"/>
      <c r="I233" s="96"/>
      <c r="M233" s="1"/>
      <c r="N233" s="1"/>
      <c r="O233" s="1"/>
      <c r="P233" s="1"/>
      <c r="Q233" s="1"/>
      <c r="R233" s="1"/>
      <c r="S233" s="1"/>
      <c r="T233" s="1"/>
      <c r="U233" s="1"/>
      <c r="V233" s="1"/>
      <c r="W233" s="1"/>
      <c r="X233" s="1"/>
      <c r="Y233" s="1"/>
      <c r="Z233" s="1"/>
      <c r="AA233" s="1"/>
      <c r="AB233" s="1"/>
      <c r="AC233" s="1"/>
    </row>
    <row r="234" spans="1:29" s="23" customFormat="1" ht="16.5" customHeight="1" x14ac:dyDescent="0.15">
      <c r="A234" s="2"/>
      <c r="B234" s="2"/>
      <c r="C234" s="2"/>
      <c r="D234" s="2"/>
      <c r="E234" s="2"/>
      <c r="H234" s="1"/>
      <c r="I234" s="96"/>
      <c r="M234" s="1"/>
      <c r="N234" s="1"/>
      <c r="O234" s="1"/>
      <c r="P234" s="1"/>
      <c r="Q234" s="1"/>
      <c r="R234" s="1"/>
      <c r="S234" s="1"/>
      <c r="T234" s="1"/>
      <c r="U234" s="1"/>
      <c r="V234" s="1"/>
      <c r="W234" s="1"/>
      <c r="X234" s="1"/>
      <c r="Y234" s="1"/>
      <c r="Z234" s="1"/>
      <c r="AA234" s="1"/>
      <c r="AB234" s="1"/>
      <c r="AC234" s="1"/>
    </row>
    <row r="235" spans="1:29" s="23" customFormat="1" ht="16.5" customHeight="1" x14ac:dyDescent="0.15">
      <c r="A235" s="2"/>
      <c r="B235" s="2"/>
      <c r="C235" s="2"/>
      <c r="D235" s="2"/>
      <c r="E235" s="2"/>
      <c r="H235" s="1"/>
      <c r="I235" s="96"/>
      <c r="M235" s="1"/>
      <c r="N235" s="1"/>
      <c r="O235" s="1"/>
      <c r="P235" s="1"/>
      <c r="Q235" s="1"/>
      <c r="R235" s="1"/>
      <c r="S235" s="1"/>
      <c r="T235" s="1"/>
      <c r="U235" s="1"/>
      <c r="V235" s="1"/>
      <c r="W235" s="1"/>
      <c r="X235" s="1"/>
      <c r="Y235" s="1"/>
      <c r="Z235" s="1"/>
      <c r="AA235" s="1"/>
      <c r="AB235" s="1"/>
      <c r="AC235" s="1"/>
    </row>
    <row r="236" spans="1:29" s="23" customFormat="1" ht="16.5" customHeight="1" x14ac:dyDescent="0.15">
      <c r="A236" s="2"/>
      <c r="B236" s="2"/>
      <c r="C236" s="2"/>
      <c r="D236" s="2"/>
      <c r="E236" s="2"/>
      <c r="H236" s="1"/>
      <c r="I236" s="96"/>
      <c r="M236" s="1"/>
      <c r="N236" s="1"/>
      <c r="O236" s="1"/>
      <c r="P236" s="1"/>
      <c r="Q236" s="1"/>
      <c r="R236" s="1"/>
      <c r="S236" s="1"/>
      <c r="T236" s="1"/>
      <c r="U236" s="1"/>
      <c r="V236" s="1"/>
      <c r="W236" s="1"/>
      <c r="X236" s="1"/>
      <c r="Y236" s="1"/>
      <c r="Z236" s="1"/>
      <c r="AA236" s="1"/>
      <c r="AB236" s="1"/>
      <c r="AC236" s="1"/>
    </row>
    <row r="237" spans="1:29" s="23" customFormat="1" ht="16.5" customHeight="1" x14ac:dyDescent="0.15">
      <c r="A237" s="2"/>
      <c r="B237" s="2"/>
      <c r="C237" s="2"/>
      <c r="D237" s="2"/>
      <c r="E237" s="2"/>
      <c r="H237" s="1"/>
      <c r="I237" s="96"/>
      <c r="M237" s="1"/>
      <c r="N237" s="1"/>
      <c r="O237" s="1"/>
      <c r="P237" s="1"/>
      <c r="Q237" s="1"/>
      <c r="R237" s="1"/>
      <c r="S237" s="1"/>
      <c r="T237" s="1"/>
      <c r="U237" s="1"/>
      <c r="V237" s="1"/>
      <c r="W237" s="1"/>
      <c r="X237" s="1"/>
      <c r="Y237" s="1"/>
      <c r="Z237" s="1"/>
      <c r="AA237" s="1"/>
      <c r="AB237" s="1"/>
      <c r="AC237" s="1"/>
    </row>
    <row r="238" spans="1:29" s="23" customFormat="1" ht="16.5" customHeight="1" x14ac:dyDescent="0.15">
      <c r="A238" s="2"/>
      <c r="B238" s="2"/>
      <c r="C238" s="2"/>
      <c r="D238" s="2"/>
      <c r="E238" s="2"/>
      <c r="H238" s="1"/>
      <c r="I238" s="96"/>
      <c r="M238" s="1"/>
      <c r="N238" s="1"/>
      <c r="O238" s="1"/>
      <c r="P238" s="1"/>
      <c r="Q238" s="1"/>
      <c r="R238" s="1"/>
      <c r="S238" s="1"/>
      <c r="T238" s="1"/>
      <c r="U238" s="1"/>
      <c r="V238" s="1"/>
      <c r="W238" s="1"/>
      <c r="X238" s="1"/>
      <c r="Y238" s="1"/>
      <c r="Z238" s="1"/>
      <c r="AA238" s="1"/>
      <c r="AB238" s="1"/>
      <c r="AC238" s="1"/>
    </row>
    <row r="239" spans="1:29" s="23" customFormat="1" ht="16.5" customHeight="1" x14ac:dyDescent="0.15">
      <c r="A239" s="2"/>
      <c r="B239" s="2"/>
      <c r="C239" s="2"/>
      <c r="D239" s="2"/>
      <c r="E239" s="2"/>
      <c r="H239" s="1"/>
      <c r="I239" s="96"/>
      <c r="M239" s="1"/>
      <c r="N239" s="1"/>
      <c r="O239" s="1"/>
      <c r="P239" s="1"/>
      <c r="Q239" s="1"/>
      <c r="R239" s="1"/>
      <c r="S239" s="1"/>
      <c r="T239" s="1"/>
      <c r="U239" s="1"/>
      <c r="V239" s="1"/>
      <c r="W239" s="1"/>
      <c r="X239" s="1"/>
      <c r="Y239" s="1"/>
      <c r="Z239" s="1"/>
      <c r="AA239" s="1"/>
      <c r="AB239" s="1"/>
      <c r="AC239" s="1"/>
    </row>
    <row r="240" spans="1:29" s="23" customFormat="1" ht="16.5" customHeight="1" x14ac:dyDescent="0.15">
      <c r="A240" s="2"/>
      <c r="B240" s="2"/>
      <c r="C240" s="2"/>
      <c r="D240" s="2"/>
      <c r="E240" s="2"/>
      <c r="H240" s="1"/>
      <c r="I240" s="96"/>
      <c r="M240" s="1"/>
      <c r="N240" s="1"/>
      <c r="O240" s="1"/>
      <c r="P240" s="1"/>
      <c r="Q240" s="1"/>
      <c r="R240" s="1"/>
      <c r="S240" s="1"/>
      <c r="T240" s="1"/>
      <c r="U240" s="1"/>
      <c r="V240" s="1"/>
      <c r="W240" s="1"/>
      <c r="X240" s="1"/>
      <c r="Y240" s="1"/>
      <c r="Z240" s="1"/>
      <c r="AA240" s="1"/>
      <c r="AB240" s="1"/>
      <c r="AC240" s="1"/>
    </row>
    <row r="241" spans="1:29" s="23" customFormat="1" ht="16.5" customHeight="1" x14ac:dyDescent="0.15">
      <c r="A241" s="2"/>
      <c r="B241" s="2"/>
      <c r="C241" s="2"/>
      <c r="D241" s="2"/>
      <c r="E241" s="2"/>
      <c r="H241" s="1"/>
      <c r="I241" s="96"/>
      <c r="M241" s="1"/>
      <c r="N241" s="1"/>
      <c r="O241" s="1"/>
      <c r="P241" s="1"/>
      <c r="Q241" s="1"/>
      <c r="R241" s="1"/>
      <c r="S241" s="1"/>
      <c r="T241" s="1"/>
      <c r="U241" s="1"/>
      <c r="V241" s="1"/>
      <c r="W241" s="1"/>
      <c r="X241" s="1"/>
      <c r="Y241" s="1"/>
      <c r="Z241" s="1"/>
      <c r="AA241" s="1"/>
      <c r="AB241" s="1"/>
      <c r="AC241" s="1"/>
    </row>
    <row r="242" spans="1:29" s="23" customFormat="1" ht="16.5" customHeight="1" x14ac:dyDescent="0.15">
      <c r="A242" s="2"/>
      <c r="B242" s="2"/>
      <c r="C242" s="2"/>
      <c r="D242" s="2"/>
      <c r="E242" s="2"/>
      <c r="H242" s="1"/>
      <c r="I242" s="96"/>
      <c r="M242" s="1"/>
      <c r="N242" s="1"/>
      <c r="O242" s="1"/>
      <c r="P242" s="1"/>
      <c r="Q242" s="1"/>
      <c r="R242" s="1"/>
      <c r="S242" s="1"/>
      <c r="T242" s="1"/>
      <c r="U242" s="1"/>
      <c r="V242" s="1"/>
      <c r="W242" s="1"/>
      <c r="X242" s="1"/>
      <c r="Y242" s="1"/>
      <c r="Z242" s="1"/>
      <c r="AA242" s="1"/>
      <c r="AB242" s="1"/>
      <c r="AC242" s="1"/>
    </row>
    <row r="243" spans="1:29" s="23" customFormat="1" ht="16.5" customHeight="1" x14ac:dyDescent="0.15">
      <c r="A243" s="2"/>
      <c r="B243" s="2"/>
      <c r="C243" s="2"/>
      <c r="D243" s="2"/>
      <c r="E243" s="2"/>
      <c r="H243" s="1"/>
      <c r="I243" s="96"/>
      <c r="M243" s="1"/>
      <c r="N243" s="1"/>
      <c r="O243" s="1"/>
      <c r="P243" s="1"/>
      <c r="Q243" s="1"/>
      <c r="R243" s="1"/>
      <c r="S243" s="1"/>
      <c r="T243" s="1"/>
      <c r="U243" s="1"/>
      <c r="V243" s="1"/>
      <c r="W243" s="1"/>
      <c r="X243" s="1"/>
      <c r="Y243" s="1"/>
      <c r="Z243" s="1"/>
      <c r="AA243" s="1"/>
      <c r="AB243" s="1"/>
      <c r="AC243" s="1"/>
    </row>
    <row r="244" spans="1:29" s="23" customFormat="1" ht="16.5" customHeight="1" x14ac:dyDescent="0.15">
      <c r="A244" s="2"/>
      <c r="B244" s="2"/>
      <c r="C244" s="2"/>
      <c r="D244" s="2"/>
      <c r="E244" s="2"/>
      <c r="H244" s="1"/>
      <c r="I244" s="96"/>
      <c r="M244" s="1"/>
      <c r="N244" s="1"/>
      <c r="O244" s="1"/>
      <c r="P244" s="1"/>
      <c r="Q244" s="1"/>
      <c r="R244" s="1"/>
      <c r="S244" s="1"/>
      <c r="T244" s="1"/>
      <c r="U244" s="1"/>
      <c r="V244" s="1"/>
      <c r="W244" s="1"/>
      <c r="X244" s="1"/>
      <c r="Y244" s="1"/>
      <c r="Z244" s="1"/>
      <c r="AA244" s="1"/>
      <c r="AB244" s="1"/>
      <c r="AC244" s="1"/>
    </row>
    <row r="245" spans="1:29" s="23" customFormat="1" ht="16.5" customHeight="1" x14ac:dyDescent="0.15">
      <c r="A245" s="2"/>
      <c r="B245" s="2"/>
      <c r="C245" s="2"/>
      <c r="D245" s="2"/>
      <c r="E245" s="2"/>
      <c r="H245" s="1"/>
      <c r="I245" s="96"/>
      <c r="M245" s="1"/>
      <c r="N245" s="1"/>
      <c r="O245" s="1"/>
      <c r="P245" s="1"/>
      <c r="Q245" s="1"/>
      <c r="R245" s="1"/>
      <c r="S245" s="1"/>
      <c r="T245" s="1"/>
      <c r="U245" s="1"/>
      <c r="V245" s="1"/>
      <c r="W245" s="1"/>
      <c r="X245" s="1"/>
      <c r="Y245" s="1"/>
      <c r="Z245" s="1"/>
      <c r="AA245" s="1"/>
      <c r="AB245" s="1"/>
      <c r="AC245" s="1"/>
    </row>
    <row r="246" spans="1:29" s="23" customFormat="1" ht="16.5" customHeight="1" x14ac:dyDescent="0.15">
      <c r="A246" s="2"/>
      <c r="B246" s="2"/>
      <c r="C246" s="2"/>
      <c r="D246" s="2"/>
      <c r="E246" s="2"/>
      <c r="H246" s="1"/>
      <c r="I246" s="96"/>
      <c r="M246" s="1"/>
      <c r="N246" s="1"/>
      <c r="O246" s="1"/>
      <c r="P246" s="1"/>
      <c r="Q246" s="1"/>
      <c r="R246" s="1"/>
      <c r="S246" s="1"/>
      <c r="T246" s="1"/>
      <c r="U246" s="1"/>
      <c r="V246" s="1"/>
      <c r="W246" s="1"/>
      <c r="X246" s="1"/>
      <c r="Y246" s="1"/>
      <c r="Z246" s="1"/>
      <c r="AA246" s="1"/>
      <c r="AB246" s="1"/>
      <c r="AC246" s="1"/>
    </row>
    <row r="247" spans="1:29" s="23" customFormat="1" ht="16.5" customHeight="1" x14ac:dyDescent="0.15">
      <c r="A247" s="2"/>
      <c r="B247" s="2"/>
      <c r="C247" s="2"/>
      <c r="D247" s="2"/>
      <c r="E247" s="2"/>
      <c r="H247" s="1"/>
      <c r="I247" s="96"/>
      <c r="M247" s="1"/>
      <c r="N247" s="1"/>
      <c r="O247" s="1"/>
      <c r="P247" s="1"/>
      <c r="Q247" s="1"/>
      <c r="R247" s="1"/>
      <c r="S247" s="1"/>
      <c r="T247" s="1"/>
      <c r="U247" s="1"/>
      <c r="V247" s="1"/>
      <c r="W247" s="1"/>
      <c r="X247" s="1"/>
      <c r="Y247" s="1"/>
      <c r="Z247" s="1"/>
      <c r="AA247" s="1"/>
      <c r="AB247" s="1"/>
      <c r="AC247" s="1"/>
    </row>
    <row r="248" spans="1:29" s="23" customFormat="1" ht="16.5" customHeight="1" x14ac:dyDescent="0.15">
      <c r="A248" s="2"/>
      <c r="B248" s="2"/>
      <c r="C248" s="2"/>
      <c r="D248" s="2"/>
      <c r="E248" s="2"/>
      <c r="H248" s="1"/>
      <c r="I248" s="96"/>
      <c r="M248" s="1"/>
      <c r="N248" s="1"/>
      <c r="O248" s="1"/>
      <c r="P248" s="1"/>
      <c r="Q248" s="1"/>
      <c r="R248" s="1"/>
      <c r="S248" s="1"/>
      <c r="T248" s="1"/>
      <c r="U248" s="1"/>
      <c r="V248" s="1"/>
      <c r="W248" s="1"/>
      <c r="X248" s="1"/>
      <c r="Y248" s="1"/>
      <c r="Z248" s="1"/>
      <c r="AA248" s="1"/>
      <c r="AB248" s="1"/>
      <c r="AC248" s="1"/>
    </row>
    <row r="249" spans="1:29" s="23" customFormat="1" ht="16.5" customHeight="1" x14ac:dyDescent="0.15">
      <c r="A249" s="2"/>
      <c r="B249" s="2"/>
      <c r="C249" s="2"/>
      <c r="D249" s="2"/>
      <c r="E249" s="2"/>
      <c r="H249" s="1"/>
      <c r="I249" s="96"/>
      <c r="M249" s="1"/>
      <c r="N249" s="1"/>
      <c r="O249" s="1"/>
      <c r="P249" s="1"/>
      <c r="Q249" s="1"/>
      <c r="R249" s="1"/>
      <c r="S249" s="1"/>
      <c r="T249" s="1"/>
      <c r="U249" s="1"/>
      <c r="V249" s="1"/>
      <c r="W249" s="1"/>
      <c r="X249" s="1"/>
      <c r="Y249" s="1"/>
      <c r="Z249" s="1"/>
      <c r="AA249" s="1"/>
      <c r="AB249" s="1"/>
      <c r="AC249" s="1"/>
    </row>
    <row r="250" spans="1:29" s="23" customFormat="1" ht="16.5" customHeight="1" x14ac:dyDescent="0.15">
      <c r="A250" s="2"/>
      <c r="B250" s="2"/>
      <c r="C250" s="2"/>
      <c r="D250" s="2"/>
      <c r="E250" s="2"/>
      <c r="H250" s="1"/>
      <c r="I250" s="96"/>
      <c r="M250" s="1"/>
      <c r="N250" s="1"/>
      <c r="O250" s="1"/>
      <c r="P250" s="1"/>
      <c r="Q250" s="1"/>
      <c r="R250" s="1"/>
      <c r="S250" s="1"/>
      <c r="T250" s="1"/>
      <c r="U250" s="1"/>
      <c r="V250" s="1"/>
      <c r="W250" s="1"/>
      <c r="X250" s="1"/>
      <c r="Y250" s="1"/>
      <c r="Z250" s="1"/>
      <c r="AA250" s="1"/>
      <c r="AB250" s="1"/>
      <c r="AC250" s="1"/>
    </row>
    <row r="251" spans="1:29" s="23" customFormat="1" ht="16.5" customHeight="1" x14ac:dyDescent="0.15">
      <c r="A251" s="2"/>
      <c r="B251" s="2"/>
      <c r="C251" s="2"/>
      <c r="D251" s="2"/>
      <c r="E251" s="2"/>
      <c r="H251" s="1"/>
      <c r="I251" s="96"/>
      <c r="M251" s="1"/>
      <c r="N251" s="1"/>
      <c r="O251" s="1"/>
      <c r="P251" s="1"/>
      <c r="Q251" s="1"/>
      <c r="R251" s="1"/>
      <c r="S251" s="1"/>
      <c r="T251" s="1"/>
      <c r="U251" s="1"/>
      <c r="V251" s="1"/>
      <c r="W251" s="1"/>
      <c r="X251" s="1"/>
      <c r="Y251" s="1"/>
      <c r="Z251" s="1"/>
      <c r="AA251" s="1"/>
      <c r="AB251" s="1"/>
      <c r="AC251" s="1"/>
    </row>
    <row r="252" spans="1:29" s="23" customFormat="1" ht="16.5" customHeight="1" x14ac:dyDescent="0.15">
      <c r="A252" s="2"/>
      <c r="B252" s="2"/>
      <c r="C252" s="2"/>
      <c r="D252" s="2"/>
      <c r="E252" s="2"/>
      <c r="H252" s="1"/>
      <c r="I252" s="96"/>
      <c r="M252" s="1"/>
      <c r="N252" s="1"/>
      <c r="O252" s="1"/>
      <c r="P252" s="1"/>
      <c r="Q252" s="1"/>
      <c r="R252" s="1"/>
      <c r="S252" s="1"/>
      <c r="T252" s="1"/>
      <c r="U252" s="1"/>
      <c r="V252" s="1"/>
      <c r="W252" s="1"/>
      <c r="X252" s="1"/>
      <c r="Y252" s="1"/>
      <c r="Z252" s="1"/>
      <c r="AA252" s="1"/>
      <c r="AB252" s="1"/>
      <c r="AC252" s="1"/>
    </row>
    <row r="253" spans="1:29" s="23" customFormat="1" ht="16.5" customHeight="1" x14ac:dyDescent="0.15">
      <c r="A253" s="2"/>
      <c r="B253" s="2"/>
      <c r="C253" s="2"/>
      <c r="D253" s="2"/>
      <c r="E253" s="2"/>
      <c r="H253" s="1"/>
      <c r="I253" s="96"/>
      <c r="M253" s="1"/>
      <c r="N253" s="1"/>
      <c r="O253" s="1"/>
      <c r="P253" s="1"/>
      <c r="Q253" s="1"/>
      <c r="R253" s="1"/>
      <c r="S253" s="1"/>
      <c r="T253" s="1"/>
      <c r="U253" s="1"/>
      <c r="V253" s="1"/>
      <c r="W253" s="1"/>
      <c r="X253" s="1"/>
      <c r="Y253" s="1"/>
      <c r="Z253" s="1"/>
      <c r="AA253" s="1"/>
      <c r="AB253" s="1"/>
      <c r="AC253" s="1"/>
    </row>
    <row r="254" spans="1:29" s="23" customFormat="1" ht="16.5" customHeight="1" x14ac:dyDescent="0.15">
      <c r="A254" s="2"/>
      <c r="B254" s="2"/>
      <c r="C254" s="2"/>
      <c r="D254" s="2"/>
      <c r="E254" s="2"/>
      <c r="H254" s="1"/>
      <c r="I254" s="96"/>
      <c r="M254" s="1"/>
      <c r="N254" s="1"/>
      <c r="O254" s="1"/>
      <c r="P254" s="1"/>
      <c r="Q254" s="1"/>
      <c r="R254" s="1"/>
      <c r="S254" s="1"/>
      <c r="T254" s="1"/>
      <c r="U254" s="1"/>
      <c r="V254" s="1"/>
      <c r="W254" s="1"/>
      <c r="X254" s="1"/>
      <c r="Y254" s="1"/>
      <c r="Z254" s="1"/>
      <c r="AA254" s="1"/>
      <c r="AB254" s="1"/>
      <c r="AC254" s="1"/>
    </row>
    <row r="255" spans="1:29" s="23" customFormat="1" ht="16.5" customHeight="1" x14ac:dyDescent="0.15">
      <c r="A255" s="2"/>
      <c r="B255" s="2"/>
      <c r="C255" s="2"/>
      <c r="D255" s="2"/>
      <c r="E255" s="2"/>
      <c r="H255" s="1"/>
      <c r="I255" s="96"/>
      <c r="M255" s="1"/>
      <c r="N255" s="1"/>
      <c r="O255" s="1"/>
      <c r="P255" s="1"/>
      <c r="Q255" s="1"/>
      <c r="R255" s="1"/>
      <c r="S255" s="1"/>
      <c r="T255" s="1"/>
      <c r="U255" s="1"/>
      <c r="V255" s="1"/>
      <c r="W255" s="1"/>
      <c r="X255" s="1"/>
      <c r="Y255" s="1"/>
      <c r="Z255" s="1"/>
      <c r="AA255" s="1"/>
      <c r="AB255" s="1"/>
      <c r="AC255" s="1"/>
    </row>
    <row r="256" spans="1:29" s="23" customFormat="1" ht="16.5" customHeight="1" x14ac:dyDescent="0.15">
      <c r="A256" s="2"/>
      <c r="B256" s="2"/>
      <c r="C256" s="2"/>
      <c r="D256" s="2"/>
      <c r="E256" s="2"/>
      <c r="H256" s="1"/>
      <c r="I256" s="96"/>
      <c r="M256" s="1"/>
      <c r="N256" s="1"/>
      <c r="O256" s="1"/>
      <c r="P256" s="1"/>
      <c r="Q256" s="1"/>
      <c r="R256" s="1"/>
      <c r="S256" s="1"/>
      <c r="T256" s="1"/>
      <c r="U256" s="1"/>
      <c r="V256" s="1"/>
      <c r="W256" s="1"/>
      <c r="X256" s="1"/>
      <c r="Y256" s="1"/>
      <c r="Z256" s="1"/>
      <c r="AA256" s="1"/>
      <c r="AB256" s="1"/>
      <c r="AC256" s="1"/>
    </row>
    <row r="257" spans="1:29" s="23" customFormat="1" ht="16.5" customHeight="1" x14ac:dyDescent="0.15">
      <c r="A257" s="2"/>
      <c r="B257" s="2"/>
      <c r="C257" s="2"/>
      <c r="D257" s="2"/>
      <c r="E257" s="2"/>
      <c r="H257" s="1"/>
      <c r="I257" s="96"/>
      <c r="M257" s="1"/>
      <c r="N257" s="1"/>
      <c r="O257" s="1"/>
      <c r="P257" s="1"/>
      <c r="Q257" s="1"/>
      <c r="R257" s="1"/>
      <c r="S257" s="1"/>
      <c r="T257" s="1"/>
      <c r="U257" s="1"/>
      <c r="V257" s="1"/>
      <c r="W257" s="1"/>
      <c r="X257" s="1"/>
      <c r="Y257" s="1"/>
      <c r="Z257" s="1"/>
      <c r="AA257" s="1"/>
      <c r="AB257" s="1"/>
      <c r="AC257" s="1"/>
    </row>
    <row r="258" spans="1:29" s="23" customFormat="1" ht="16.5" customHeight="1" x14ac:dyDescent="0.15">
      <c r="A258" s="2"/>
      <c r="B258" s="2"/>
      <c r="C258" s="2"/>
      <c r="D258" s="2"/>
      <c r="E258" s="2"/>
      <c r="H258" s="1"/>
      <c r="I258" s="96"/>
      <c r="M258" s="1"/>
      <c r="N258" s="1"/>
      <c r="O258" s="1"/>
      <c r="P258" s="1"/>
      <c r="Q258" s="1"/>
      <c r="R258" s="1"/>
      <c r="S258" s="1"/>
      <c r="T258" s="1"/>
      <c r="U258" s="1"/>
      <c r="V258" s="1"/>
      <c r="W258" s="1"/>
      <c r="X258" s="1"/>
      <c r="Y258" s="1"/>
      <c r="Z258" s="1"/>
      <c r="AA258" s="1"/>
      <c r="AB258" s="1"/>
      <c r="AC258" s="1"/>
    </row>
    <row r="259" spans="1:29" s="23" customFormat="1" ht="16.5" customHeight="1" x14ac:dyDescent="0.15">
      <c r="A259" s="2"/>
      <c r="B259" s="2"/>
      <c r="C259" s="2"/>
      <c r="D259" s="2"/>
      <c r="E259" s="2"/>
      <c r="H259" s="1"/>
      <c r="I259" s="96"/>
      <c r="M259" s="1"/>
      <c r="N259" s="1"/>
      <c r="O259" s="1"/>
      <c r="P259" s="1"/>
      <c r="Q259" s="1"/>
      <c r="R259" s="1"/>
      <c r="S259" s="1"/>
      <c r="T259" s="1"/>
      <c r="U259" s="1"/>
      <c r="V259" s="1"/>
      <c r="W259" s="1"/>
      <c r="X259" s="1"/>
      <c r="Y259" s="1"/>
      <c r="Z259" s="1"/>
      <c r="AA259" s="1"/>
      <c r="AB259" s="1"/>
      <c r="AC259" s="1"/>
    </row>
    <row r="260" spans="1:29" s="23" customFormat="1" ht="16.5" customHeight="1" x14ac:dyDescent="0.15">
      <c r="A260" s="2"/>
      <c r="B260" s="2"/>
      <c r="C260" s="2"/>
      <c r="D260" s="2"/>
      <c r="E260" s="2"/>
      <c r="H260" s="1"/>
      <c r="I260" s="96"/>
      <c r="M260" s="1"/>
      <c r="N260" s="1"/>
      <c r="O260" s="1"/>
      <c r="P260" s="1"/>
      <c r="Q260" s="1"/>
      <c r="R260" s="1"/>
      <c r="S260" s="1"/>
      <c r="T260" s="1"/>
      <c r="U260" s="1"/>
      <c r="V260" s="1"/>
      <c r="W260" s="1"/>
      <c r="X260" s="1"/>
      <c r="Y260" s="1"/>
      <c r="Z260" s="1"/>
      <c r="AA260" s="1"/>
      <c r="AB260" s="1"/>
      <c r="AC260" s="1"/>
    </row>
    <row r="261" spans="1:29" s="23" customFormat="1" ht="16.5" customHeight="1" x14ac:dyDescent="0.15">
      <c r="A261" s="2"/>
      <c r="B261" s="2"/>
      <c r="C261" s="2"/>
      <c r="D261" s="2"/>
      <c r="E261" s="2"/>
      <c r="H261" s="1"/>
      <c r="I261" s="96"/>
      <c r="M261" s="1"/>
      <c r="N261" s="1"/>
      <c r="O261" s="1"/>
      <c r="P261" s="1"/>
      <c r="Q261" s="1"/>
      <c r="R261" s="1"/>
      <c r="S261" s="1"/>
      <c r="T261" s="1"/>
      <c r="U261" s="1"/>
      <c r="V261" s="1"/>
      <c r="W261" s="1"/>
      <c r="X261" s="1"/>
      <c r="Y261" s="1"/>
      <c r="Z261" s="1"/>
      <c r="AA261" s="1"/>
      <c r="AB261" s="1"/>
      <c r="AC261" s="1"/>
    </row>
    <row r="262" spans="1:29" s="23" customFormat="1" ht="16.5" customHeight="1" x14ac:dyDescent="0.15">
      <c r="A262" s="2"/>
      <c r="B262" s="2"/>
      <c r="C262" s="2"/>
      <c r="D262" s="2"/>
      <c r="E262" s="2"/>
      <c r="H262" s="1"/>
      <c r="I262" s="96"/>
      <c r="M262" s="1"/>
      <c r="N262" s="1"/>
      <c r="O262" s="1"/>
      <c r="P262" s="1"/>
      <c r="Q262" s="1"/>
      <c r="R262" s="1"/>
      <c r="S262" s="1"/>
      <c r="T262" s="1"/>
      <c r="U262" s="1"/>
      <c r="V262" s="1"/>
      <c r="W262" s="1"/>
      <c r="X262" s="1"/>
      <c r="Y262" s="1"/>
      <c r="Z262" s="1"/>
      <c r="AA262" s="1"/>
      <c r="AB262" s="1"/>
      <c r="AC262" s="1"/>
    </row>
    <row r="263" spans="1:29" s="23" customFormat="1" ht="16.5" customHeight="1" x14ac:dyDescent="0.15">
      <c r="A263" s="2"/>
      <c r="B263" s="2"/>
      <c r="C263" s="2"/>
      <c r="D263" s="2"/>
      <c r="E263" s="2"/>
      <c r="H263" s="1"/>
      <c r="I263" s="96"/>
      <c r="M263" s="1"/>
      <c r="N263" s="1"/>
      <c r="O263" s="1"/>
      <c r="P263" s="1"/>
      <c r="Q263" s="1"/>
      <c r="R263" s="1"/>
      <c r="S263" s="1"/>
      <c r="T263" s="1"/>
      <c r="U263" s="1"/>
      <c r="V263" s="1"/>
      <c r="W263" s="1"/>
      <c r="X263" s="1"/>
      <c r="Y263" s="1"/>
      <c r="Z263" s="1"/>
      <c r="AA263" s="1"/>
      <c r="AB263" s="1"/>
      <c r="AC263" s="1"/>
    </row>
    <row r="264" spans="1:29" s="23" customFormat="1" ht="16.5" customHeight="1" x14ac:dyDescent="0.15">
      <c r="A264" s="2"/>
      <c r="B264" s="2"/>
      <c r="C264" s="2"/>
      <c r="D264" s="2"/>
      <c r="E264" s="2"/>
      <c r="H264" s="1"/>
      <c r="I264" s="96"/>
      <c r="M264" s="1"/>
      <c r="N264" s="1"/>
      <c r="O264" s="1"/>
      <c r="P264" s="1"/>
      <c r="Q264" s="1"/>
      <c r="R264" s="1"/>
      <c r="S264" s="1"/>
      <c r="T264" s="1"/>
      <c r="U264" s="1"/>
      <c r="V264" s="1"/>
      <c r="W264" s="1"/>
      <c r="X264" s="1"/>
      <c r="Y264" s="1"/>
      <c r="Z264" s="1"/>
      <c r="AA264" s="1"/>
      <c r="AB264" s="1"/>
      <c r="AC264" s="1"/>
    </row>
    <row r="265" spans="1:29" s="23" customFormat="1" ht="16.5" customHeight="1" x14ac:dyDescent="0.15">
      <c r="A265" s="2"/>
      <c r="B265" s="2"/>
      <c r="C265" s="2"/>
      <c r="D265" s="2"/>
      <c r="E265" s="2"/>
      <c r="H265" s="1"/>
      <c r="I265" s="96"/>
      <c r="M265" s="1"/>
      <c r="N265" s="1"/>
      <c r="O265" s="1"/>
      <c r="P265" s="1"/>
      <c r="Q265" s="1"/>
      <c r="R265" s="1"/>
      <c r="S265" s="1"/>
      <c r="T265" s="1"/>
      <c r="U265" s="1"/>
      <c r="V265" s="1"/>
      <c r="W265" s="1"/>
      <c r="X265" s="1"/>
      <c r="Y265" s="1"/>
      <c r="Z265" s="1"/>
      <c r="AA265" s="1"/>
      <c r="AB265" s="1"/>
      <c r="AC265" s="1"/>
    </row>
    <row r="266" spans="1:29" s="23" customFormat="1" ht="16.5" customHeight="1" x14ac:dyDescent="0.15">
      <c r="A266" s="2"/>
      <c r="B266" s="2"/>
      <c r="C266" s="2"/>
      <c r="D266" s="2"/>
      <c r="E266" s="2"/>
      <c r="H266" s="1"/>
      <c r="I266" s="96"/>
      <c r="M266" s="1"/>
      <c r="N266" s="1"/>
      <c r="O266" s="1"/>
      <c r="P266" s="1"/>
      <c r="Q266" s="1"/>
      <c r="R266" s="1"/>
      <c r="S266" s="1"/>
      <c r="T266" s="1"/>
      <c r="U266" s="1"/>
      <c r="V266" s="1"/>
      <c r="W266" s="1"/>
      <c r="X266" s="1"/>
      <c r="Y266" s="1"/>
      <c r="Z266" s="1"/>
      <c r="AA266" s="1"/>
      <c r="AB266" s="1"/>
      <c r="AC266" s="1"/>
    </row>
    <row r="267" spans="1:29" s="23" customFormat="1" ht="16.5" customHeight="1" x14ac:dyDescent="0.15">
      <c r="A267" s="2"/>
      <c r="B267" s="2"/>
      <c r="C267" s="2"/>
      <c r="D267" s="2"/>
      <c r="E267" s="2"/>
      <c r="H267" s="1"/>
      <c r="I267" s="96"/>
      <c r="M267" s="1"/>
      <c r="N267" s="1"/>
      <c r="O267" s="1"/>
      <c r="P267" s="1"/>
      <c r="Q267" s="1"/>
      <c r="R267" s="1"/>
      <c r="S267" s="1"/>
      <c r="T267" s="1"/>
      <c r="U267" s="1"/>
      <c r="V267" s="1"/>
      <c r="W267" s="1"/>
      <c r="X267" s="1"/>
      <c r="Y267" s="1"/>
      <c r="Z267" s="1"/>
      <c r="AA267" s="1"/>
      <c r="AB267" s="1"/>
      <c r="AC267" s="1"/>
    </row>
    <row r="268" spans="1:29" s="23" customFormat="1" ht="16.5" customHeight="1" x14ac:dyDescent="0.15">
      <c r="A268" s="2"/>
      <c r="B268" s="2"/>
      <c r="C268" s="2"/>
      <c r="D268" s="2"/>
      <c r="E268" s="2"/>
      <c r="H268" s="1"/>
      <c r="I268" s="96"/>
      <c r="M268" s="1"/>
      <c r="N268" s="1"/>
      <c r="O268" s="1"/>
      <c r="P268" s="1"/>
      <c r="Q268" s="1"/>
      <c r="R268" s="1"/>
      <c r="S268" s="1"/>
      <c r="T268" s="1"/>
      <c r="U268" s="1"/>
      <c r="V268" s="1"/>
      <c r="W268" s="1"/>
      <c r="X268" s="1"/>
      <c r="Y268" s="1"/>
      <c r="Z268" s="1"/>
      <c r="AA268" s="1"/>
      <c r="AB268" s="1"/>
      <c r="AC268" s="1"/>
    </row>
    <row r="269" spans="1:29" s="23" customFormat="1" ht="16.5" customHeight="1" x14ac:dyDescent="0.15">
      <c r="A269" s="2"/>
      <c r="B269" s="2"/>
      <c r="C269" s="2"/>
      <c r="D269" s="2"/>
      <c r="E269" s="2"/>
      <c r="H269" s="1"/>
      <c r="I269" s="96"/>
      <c r="M269" s="1"/>
      <c r="N269" s="1"/>
      <c r="O269" s="1"/>
      <c r="P269" s="1"/>
      <c r="Q269" s="1"/>
      <c r="R269" s="1"/>
      <c r="S269" s="1"/>
      <c r="T269" s="1"/>
      <c r="U269" s="1"/>
      <c r="V269" s="1"/>
      <c r="W269" s="1"/>
      <c r="X269" s="1"/>
      <c r="Y269" s="1"/>
      <c r="Z269" s="1"/>
      <c r="AA269" s="1"/>
      <c r="AB269" s="1"/>
      <c r="AC269" s="1"/>
    </row>
    <row r="270" spans="1:29" s="23" customFormat="1" ht="16.5" customHeight="1" x14ac:dyDescent="0.15">
      <c r="A270" s="2"/>
      <c r="B270" s="2"/>
      <c r="C270" s="2"/>
      <c r="D270" s="2"/>
      <c r="E270" s="2"/>
      <c r="H270" s="1"/>
      <c r="I270" s="96"/>
      <c r="M270" s="1"/>
      <c r="N270" s="1"/>
      <c r="O270" s="1"/>
      <c r="P270" s="1"/>
      <c r="Q270" s="1"/>
      <c r="R270" s="1"/>
      <c r="S270" s="1"/>
      <c r="T270" s="1"/>
      <c r="U270" s="1"/>
      <c r="V270" s="1"/>
      <c r="W270" s="1"/>
      <c r="X270" s="1"/>
      <c r="Y270" s="1"/>
      <c r="Z270" s="1"/>
      <c r="AA270" s="1"/>
      <c r="AB270" s="1"/>
      <c r="AC270" s="1"/>
    </row>
    <row r="271" spans="1:29" s="23" customFormat="1" ht="16.5" customHeight="1" x14ac:dyDescent="0.15">
      <c r="A271" s="2"/>
      <c r="B271" s="2"/>
      <c r="C271" s="2"/>
      <c r="D271" s="2"/>
      <c r="E271" s="2"/>
      <c r="H271" s="1"/>
      <c r="I271" s="96"/>
      <c r="M271" s="1"/>
      <c r="N271" s="1"/>
      <c r="O271" s="1"/>
      <c r="P271" s="1"/>
      <c r="Q271" s="1"/>
      <c r="R271" s="1"/>
      <c r="S271" s="1"/>
      <c r="T271" s="1"/>
      <c r="U271" s="1"/>
      <c r="V271" s="1"/>
      <c r="W271" s="1"/>
      <c r="X271" s="1"/>
      <c r="Y271" s="1"/>
      <c r="Z271" s="1"/>
      <c r="AA271" s="1"/>
      <c r="AB271" s="1"/>
      <c r="AC271" s="1"/>
    </row>
    <row r="272" spans="1:29" ht="16.5" customHeight="1" x14ac:dyDescent="0.15"/>
    <row r="273" ht="16.5" customHeight="1" x14ac:dyDescent="0.15"/>
    <row r="274" ht="16.5" customHeight="1" x14ac:dyDescent="0.15"/>
    <row r="275" ht="16.5" customHeight="1" x14ac:dyDescent="0.15"/>
    <row r="276" ht="16.5" customHeight="1" x14ac:dyDescent="0.15"/>
    <row r="277" ht="16.5" customHeight="1" x14ac:dyDescent="0.15"/>
    <row r="278" ht="16.5" customHeight="1" x14ac:dyDescent="0.15"/>
    <row r="279" ht="16.5" customHeight="1" x14ac:dyDescent="0.15"/>
    <row r="280" ht="16.5" customHeight="1" x14ac:dyDescent="0.15"/>
    <row r="281" ht="16.5" customHeight="1" x14ac:dyDescent="0.15"/>
    <row r="282" ht="16.5" customHeight="1" x14ac:dyDescent="0.15"/>
    <row r="283" ht="16.5" customHeight="1" x14ac:dyDescent="0.15"/>
    <row r="284" ht="16.5" customHeight="1" x14ac:dyDescent="0.15"/>
    <row r="285" ht="16.5" customHeight="1" x14ac:dyDescent="0.15"/>
    <row r="286" ht="16.5" customHeight="1" x14ac:dyDescent="0.15"/>
    <row r="287" ht="16.5" customHeight="1" x14ac:dyDescent="0.15"/>
    <row r="288" ht="16.5" customHeight="1" x14ac:dyDescent="0.15"/>
    <row r="289" ht="16.5" customHeight="1" x14ac:dyDescent="0.15"/>
    <row r="290" ht="16.5" customHeight="1" x14ac:dyDescent="0.15"/>
    <row r="291" ht="16.5" customHeight="1" x14ac:dyDescent="0.15"/>
    <row r="292" ht="16.5" customHeight="1" x14ac:dyDescent="0.15"/>
    <row r="293" ht="16.5" customHeight="1" x14ac:dyDescent="0.15"/>
    <row r="294" ht="16.5" customHeight="1" x14ac:dyDescent="0.15"/>
    <row r="295" ht="16.5" customHeight="1" x14ac:dyDescent="0.15"/>
    <row r="296" ht="16.5" customHeight="1" x14ac:dyDescent="0.15"/>
    <row r="297" ht="16.5" customHeight="1" x14ac:dyDescent="0.15"/>
    <row r="298" ht="16.5" customHeight="1" x14ac:dyDescent="0.15"/>
    <row r="299" ht="16.5" customHeight="1" x14ac:dyDescent="0.15"/>
    <row r="300" ht="16.5" customHeight="1" x14ac:dyDescent="0.15"/>
    <row r="301" ht="16.5" customHeight="1" x14ac:dyDescent="0.15"/>
    <row r="302" ht="16.5" customHeight="1" x14ac:dyDescent="0.15"/>
    <row r="303" ht="16.5" customHeight="1" x14ac:dyDescent="0.15"/>
    <row r="304" ht="16.5" customHeight="1" x14ac:dyDescent="0.15"/>
    <row r="305" ht="16.5" customHeight="1" x14ac:dyDescent="0.15"/>
    <row r="306" ht="16.5" customHeight="1" x14ac:dyDescent="0.15"/>
    <row r="307" ht="16.5" customHeight="1" x14ac:dyDescent="0.15"/>
    <row r="308" ht="16.5" customHeight="1" x14ac:dyDescent="0.15"/>
    <row r="309" ht="16.5" customHeight="1" x14ac:dyDescent="0.15"/>
    <row r="310" ht="16.5" customHeight="1" x14ac:dyDescent="0.15"/>
    <row r="311" ht="16.5" customHeight="1" x14ac:dyDescent="0.15"/>
    <row r="312" ht="16.5" customHeight="1" x14ac:dyDescent="0.15"/>
    <row r="313" ht="16.5" customHeight="1" x14ac:dyDescent="0.15"/>
    <row r="314" ht="16.5" customHeight="1" x14ac:dyDescent="0.15"/>
    <row r="315" ht="16.5" customHeight="1" x14ac:dyDescent="0.15"/>
    <row r="316" ht="16.5" customHeight="1" x14ac:dyDescent="0.15"/>
    <row r="317" ht="16.5" customHeight="1" x14ac:dyDescent="0.15"/>
    <row r="318" ht="16.5" customHeight="1" x14ac:dyDescent="0.15"/>
    <row r="319" ht="16.5" customHeight="1" x14ac:dyDescent="0.15"/>
    <row r="320" ht="16.5" customHeight="1" x14ac:dyDescent="0.15"/>
    <row r="321" ht="16.5" customHeight="1" x14ac:dyDescent="0.15"/>
    <row r="322" ht="16.5" customHeight="1" x14ac:dyDescent="0.15"/>
    <row r="323" ht="16.5" customHeight="1" x14ac:dyDescent="0.15"/>
    <row r="324" ht="16.5" customHeight="1" x14ac:dyDescent="0.15"/>
    <row r="325" ht="16.5" customHeight="1" x14ac:dyDescent="0.15"/>
    <row r="326" ht="16.5" customHeight="1" x14ac:dyDescent="0.15"/>
    <row r="327" ht="16.5" customHeight="1" x14ac:dyDescent="0.15"/>
    <row r="328" ht="16.5" customHeight="1" x14ac:dyDescent="0.15"/>
    <row r="329" ht="16.5" customHeight="1" x14ac:dyDescent="0.15"/>
    <row r="330" ht="16.5" customHeight="1" x14ac:dyDescent="0.15"/>
    <row r="331" ht="16.5" customHeight="1" x14ac:dyDescent="0.15"/>
    <row r="332" ht="16.5" customHeight="1" x14ac:dyDescent="0.15"/>
    <row r="333" ht="16.5" customHeight="1" x14ac:dyDescent="0.15"/>
    <row r="334" ht="16.5" customHeight="1" x14ac:dyDescent="0.15"/>
    <row r="335" ht="16.5" customHeight="1" x14ac:dyDescent="0.15"/>
    <row r="336" ht="16.5" customHeight="1" x14ac:dyDescent="0.15"/>
    <row r="337" ht="16.5" customHeight="1" x14ac:dyDescent="0.15"/>
    <row r="338" ht="16.5" customHeight="1" x14ac:dyDescent="0.15"/>
    <row r="339" ht="16.5" customHeight="1" x14ac:dyDescent="0.15"/>
    <row r="340" ht="16.5" customHeight="1" x14ac:dyDescent="0.15"/>
    <row r="341" ht="16.5" customHeight="1" x14ac:dyDescent="0.15"/>
    <row r="342" ht="16.5" customHeight="1" x14ac:dyDescent="0.15"/>
    <row r="343" ht="16.5" customHeight="1" x14ac:dyDescent="0.15"/>
    <row r="344" ht="16.5" customHeight="1" x14ac:dyDescent="0.15"/>
    <row r="345" ht="16.5" customHeight="1" x14ac:dyDescent="0.15"/>
    <row r="346" ht="16.5" customHeight="1" x14ac:dyDescent="0.15"/>
    <row r="347" ht="16.5" customHeight="1" x14ac:dyDescent="0.15"/>
    <row r="348" ht="16.5" customHeight="1" x14ac:dyDescent="0.15"/>
    <row r="349" ht="16.5" customHeight="1" x14ac:dyDescent="0.15"/>
    <row r="350" ht="16.5" customHeight="1" x14ac:dyDescent="0.15"/>
    <row r="351" ht="16.5" customHeight="1" x14ac:dyDescent="0.15"/>
    <row r="352" ht="16.5" customHeight="1" x14ac:dyDescent="0.15"/>
    <row r="353" ht="16.5" customHeight="1" x14ac:dyDescent="0.15"/>
    <row r="354" ht="16.5" customHeight="1" x14ac:dyDescent="0.15"/>
    <row r="355" ht="16.5" customHeight="1" x14ac:dyDescent="0.15"/>
    <row r="356" ht="16.5" customHeight="1" x14ac:dyDescent="0.15"/>
    <row r="357" ht="16.5" customHeight="1" x14ac:dyDescent="0.15"/>
    <row r="358" ht="16.5" customHeight="1" x14ac:dyDescent="0.15"/>
    <row r="359" ht="16.5" customHeight="1" x14ac:dyDescent="0.15"/>
    <row r="360" ht="16.5" customHeight="1" x14ac:dyDescent="0.15"/>
    <row r="361" ht="16.5" customHeight="1" x14ac:dyDescent="0.15"/>
    <row r="362" ht="16.5" customHeight="1" x14ac:dyDescent="0.15"/>
    <row r="363" ht="16.5" customHeight="1" x14ac:dyDescent="0.15"/>
    <row r="364" ht="16.5" customHeight="1" x14ac:dyDescent="0.15"/>
    <row r="365" ht="16.5" customHeight="1" x14ac:dyDescent="0.15"/>
    <row r="366" ht="16.5" customHeight="1" x14ac:dyDescent="0.15"/>
    <row r="367" ht="16.5" customHeight="1" x14ac:dyDescent="0.15"/>
    <row r="368" ht="16.5" customHeight="1" x14ac:dyDescent="0.15"/>
    <row r="369" ht="16.5" customHeight="1" x14ac:dyDescent="0.15"/>
    <row r="370" ht="16.5" customHeight="1" x14ac:dyDescent="0.15"/>
    <row r="371" ht="16.5" customHeight="1" x14ac:dyDescent="0.15"/>
    <row r="372" ht="16.5" customHeight="1" x14ac:dyDescent="0.15"/>
    <row r="373" ht="16.5" customHeight="1" x14ac:dyDescent="0.15"/>
    <row r="374" ht="16.5" customHeight="1" x14ac:dyDescent="0.15"/>
    <row r="375" ht="16.5" customHeight="1" x14ac:dyDescent="0.15"/>
    <row r="376" ht="16.5" customHeight="1" x14ac:dyDescent="0.15"/>
    <row r="377" ht="16.5" customHeight="1" x14ac:dyDescent="0.15"/>
    <row r="378" ht="16.5" customHeight="1" x14ac:dyDescent="0.15"/>
    <row r="379" ht="16.5" customHeight="1" x14ac:dyDescent="0.15"/>
    <row r="380" ht="16.5" customHeight="1" x14ac:dyDescent="0.15"/>
    <row r="381" ht="16.5" customHeight="1" x14ac:dyDescent="0.15"/>
    <row r="382" ht="16.5" customHeight="1" x14ac:dyDescent="0.15"/>
    <row r="383" ht="16.5" customHeight="1" x14ac:dyDescent="0.15"/>
    <row r="384" ht="16.5" customHeight="1" x14ac:dyDescent="0.15"/>
    <row r="385" ht="16.5" customHeight="1" x14ac:dyDescent="0.15"/>
    <row r="386" ht="16.5" customHeight="1" x14ac:dyDescent="0.15"/>
    <row r="387" ht="16.5" customHeight="1" x14ac:dyDescent="0.15"/>
    <row r="388" ht="16.5" customHeight="1" x14ac:dyDescent="0.15"/>
    <row r="389" ht="16.5" customHeight="1" x14ac:dyDescent="0.15"/>
    <row r="390" ht="16.5" customHeight="1" x14ac:dyDescent="0.15"/>
    <row r="391" ht="16.5" customHeight="1" x14ac:dyDescent="0.15"/>
    <row r="392" ht="16.5" customHeight="1" x14ac:dyDescent="0.15"/>
    <row r="393" ht="16.5" customHeight="1" x14ac:dyDescent="0.15"/>
    <row r="394" ht="16.5" customHeight="1" x14ac:dyDescent="0.15"/>
    <row r="395" ht="16.5" customHeight="1" x14ac:dyDescent="0.15"/>
    <row r="396" ht="16.5" customHeight="1" x14ac:dyDescent="0.15"/>
    <row r="397" ht="16.5" customHeight="1" x14ac:dyDescent="0.15"/>
    <row r="398" ht="16.5" customHeight="1" x14ac:dyDescent="0.15"/>
    <row r="399" ht="16.5" customHeight="1" x14ac:dyDescent="0.15"/>
    <row r="400" ht="16.5" customHeight="1" x14ac:dyDescent="0.15"/>
    <row r="401" ht="16.5" customHeight="1" x14ac:dyDescent="0.15"/>
    <row r="402" ht="16.5" customHeight="1" x14ac:dyDescent="0.15"/>
    <row r="403" ht="16.5" customHeight="1" x14ac:dyDescent="0.15"/>
    <row r="404" ht="16.5" customHeight="1" x14ac:dyDescent="0.15"/>
    <row r="405" ht="16.5" customHeight="1" x14ac:dyDescent="0.15"/>
    <row r="406" ht="16.5" customHeight="1" x14ac:dyDescent="0.15"/>
    <row r="407" ht="16.5" customHeight="1" x14ac:dyDescent="0.15"/>
    <row r="408" ht="16.5" customHeight="1" x14ac:dyDescent="0.15"/>
    <row r="409" ht="16.5" customHeight="1" x14ac:dyDescent="0.15"/>
    <row r="410" ht="16.5" customHeight="1" x14ac:dyDescent="0.15"/>
    <row r="411" ht="16.5" customHeight="1" x14ac:dyDescent="0.15"/>
    <row r="412" ht="16.5" customHeight="1" x14ac:dyDescent="0.15"/>
    <row r="413" ht="16.5" customHeight="1" x14ac:dyDescent="0.15"/>
    <row r="414" ht="16.5" customHeight="1" x14ac:dyDescent="0.15"/>
    <row r="415" ht="16.5" customHeight="1" x14ac:dyDescent="0.15"/>
    <row r="416" ht="16.5" customHeight="1" x14ac:dyDescent="0.15"/>
    <row r="417" ht="16.5" customHeight="1" x14ac:dyDescent="0.15"/>
    <row r="418" ht="16.5" customHeight="1" x14ac:dyDescent="0.15"/>
    <row r="419" ht="16.5" customHeight="1" x14ac:dyDescent="0.15"/>
    <row r="420" ht="16.5" customHeight="1" x14ac:dyDescent="0.15"/>
    <row r="421" ht="16.5" customHeight="1" x14ac:dyDescent="0.15"/>
    <row r="422" ht="16.5" customHeight="1" x14ac:dyDescent="0.15"/>
    <row r="423" ht="16.5" customHeight="1" x14ac:dyDescent="0.15"/>
    <row r="424" ht="16.5" customHeight="1" x14ac:dyDescent="0.15"/>
    <row r="425" ht="16.5" customHeight="1" x14ac:dyDescent="0.15"/>
    <row r="426" ht="16.5" customHeight="1" x14ac:dyDescent="0.15"/>
    <row r="427" ht="16.5" customHeight="1" x14ac:dyDescent="0.15"/>
    <row r="428" ht="16.5" customHeight="1" x14ac:dyDescent="0.15"/>
    <row r="429" ht="16.5" customHeight="1" x14ac:dyDescent="0.15"/>
    <row r="430" ht="16.5" customHeight="1" x14ac:dyDescent="0.15"/>
    <row r="431" ht="16.5" customHeight="1" x14ac:dyDescent="0.15"/>
    <row r="432" ht="16.5" customHeight="1" x14ac:dyDescent="0.15"/>
    <row r="433" ht="16.5" customHeight="1" x14ac:dyDescent="0.15"/>
    <row r="434" ht="16.5" customHeight="1" x14ac:dyDescent="0.15"/>
    <row r="435" ht="16.5" customHeight="1" x14ac:dyDescent="0.15"/>
    <row r="436" ht="16.5" customHeight="1" x14ac:dyDescent="0.15"/>
    <row r="437" ht="16.5" customHeight="1" x14ac:dyDescent="0.15"/>
    <row r="438" ht="16.5" customHeight="1" x14ac:dyDescent="0.15"/>
    <row r="439" ht="16.5" customHeight="1" x14ac:dyDescent="0.15"/>
    <row r="440" ht="16.5" customHeight="1" x14ac:dyDescent="0.15"/>
    <row r="441" ht="16.5" customHeight="1" x14ac:dyDescent="0.15"/>
    <row r="442" ht="16.5" customHeight="1" x14ac:dyDescent="0.15"/>
    <row r="443" ht="16.5" customHeight="1" x14ac:dyDescent="0.15"/>
    <row r="444" ht="16.5" customHeight="1" x14ac:dyDescent="0.15"/>
    <row r="445" ht="16.5" customHeight="1" x14ac:dyDescent="0.15"/>
    <row r="446" ht="16.5" customHeight="1" x14ac:dyDescent="0.15"/>
    <row r="447" ht="16.5" customHeight="1" x14ac:dyDescent="0.15"/>
    <row r="448" ht="16.5" customHeight="1" x14ac:dyDescent="0.15"/>
    <row r="449" ht="16.5" customHeight="1" x14ac:dyDescent="0.15"/>
    <row r="450" ht="16.5" customHeight="1" x14ac:dyDescent="0.15"/>
    <row r="451" ht="16.5" customHeight="1" x14ac:dyDescent="0.15"/>
    <row r="452" ht="16.5" customHeight="1" x14ac:dyDescent="0.15"/>
    <row r="453" ht="16.5" customHeight="1" x14ac:dyDescent="0.15"/>
    <row r="454" ht="16.5" customHeight="1" x14ac:dyDescent="0.15"/>
    <row r="455" ht="16.5" customHeight="1" x14ac:dyDescent="0.15"/>
    <row r="456" ht="16.5" customHeight="1" x14ac:dyDescent="0.15"/>
    <row r="457" ht="16.5" customHeight="1" x14ac:dyDescent="0.15"/>
    <row r="458" ht="16.5" customHeight="1" x14ac:dyDescent="0.15"/>
    <row r="459" ht="16.5" customHeight="1" x14ac:dyDescent="0.15"/>
    <row r="460" ht="16.5" customHeight="1" x14ac:dyDescent="0.15"/>
    <row r="461" ht="16.5" customHeight="1" x14ac:dyDescent="0.15"/>
    <row r="462" ht="16.5" customHeight="1" x14ac:dyDescent="0.15"/>
    <row r="463" ht="16.5" customHeight="1" x14ac:dyDescent="0.15"/>
    <row r="464" ht="16.5" customHeight="1" x14ac:dyDescent="0.15"/>
    <row r="465" ht="16.5" customHeight="1" x14ac:dyDescent="0.15"/>
    <row r="466" ht="16.5" customHeight="1" x14ac:dyDescent="0.15"/>
    <row r="467" ht="16.5" customHeight="1" x14ac:dyDescent="0.15"/>
    <row r="468" ht="16.5" customHeight="1" x14ac:dyDescent="0.15"/>
    <row r="469" ht="16.5" customHeight="1" x14ac:dyDescent="0.15"/>
    <row r="470" ht="16.5" customHeight="1" x14ac:dyDescent="0.15"/>
    <row r="471" ht="16.5" customHeight="1" x14ac:dyDescent="0.15"/>
    <row r="472" ht="16.5" customHeight="1" x14ac:dyDescent="0.15"/>
    <row r="473" ht="16.5" customHeight="1" x14ac:dyDescent="0.15"/>
    <row r="474" ht="16.5" customHeight="1" x14ac:dyDescent="0.15"/>
    <row r="475" ht="16.5" customHeight="1" x14ac:dyDescent="0.15"/>
    <row r="476" ht="16.5" customHeight="1" x14ac:dyDescent="0.15"/>
    <row r="477" ht="16.5" customHeight="1" x14ac:dyDescent="0.15"/>
    <row r="478" ht="16.5" customHeight="1" x14ac:dyDescent="0.15"/>
    <row r="479" ht="16.5" customHeight="1" x14ac:dyDescent="0.15"/>
    <row r="480" ht="16.5" customHeight="1" x14ac:dyDescent="0.15"/>
    <row r="481" ht="16.5" customHeight="1" x14ac:dyDescent="0.15"/>
    <row r="482" ht="16.5" customHeight="1" x14ac:dyDescent="0.15"/>
    <row r="483" ht="16.5" customHeight="1" x14ac:dyDescent="0.15"/>
    <row r="484" ht="16.5" customHeight="1" x14ac:dyDescent="0.15"/>
    <row r="485" ht="16.5" customHeight="1" x14ac:dyDescent="0.15"/>
    <row r="486" ht="16.5" customHeight="1" x14ac:dyDescent="0.15"/>
    <row r="487" ht="16.5" customHeight="1" x14ac:dyDescent="0.15"/>
    <row r="488" ht="16.5" customHeight="1" x14ac:dyDescent="0.15"/>
    <row r="489" ht="16.5" customHeight="1" x14ac:dyDescent="0.15"/>
    <row r="490" ht="16.5" customHeight="1" x14ac:dyDescent="0.15"/>
    <row r="491" ht="16.5" customHeight="1" x14ac:dyDescent="0.15"/>
    <row r="492" ht="16.5" customHeight="1" x14ac:dyDescent="0.15"/>
    <row r="493" ht="16.5" customHeight="1" x14ac:dyDescent="0.15"/>
    <row r="494" ht="16.5" customHeight="1" x14ac:dyDescent="0.15"/>
    <row r="495" ht="16.5" customHeight="1" x14ac:dyDescent="0.15"/>
    <row r="496" ht="16.5" customHeight="1" x14ac:dyDescent="0.15"/>
    <row r="497" ht="16.5" customHeight="1" x14ac:dyDescent="0.15"/>
    <row r="498" ht="16.5" customHeight="1" x14ac:dyDescent="0.15"/>
    <row r="499" ht="16.5" customHeight="1" x14ac:dyDescent="0.15"/>
    <row r="500" ht="16.5" customHeight="1" x14ac:dyDescent="0.15"/>
    <row r="501" ht="16.5" customHeight="1" x14ac:dyDescent="0.15"/>
    <row r="502" ht="16.5" customHeight="1" x14ac:dyDescent="0.15"/>
    <row r="503" ht="16.5" customHeight="1" x14ac:dyDescent="0.15"/>
    <row r="504" ht="16.5" customHeight="1" x14ac:dyDescent="0.15"/>
    <row r="505" ht="16.5" customHeight="1" x14ac:dyDescent="0.15"/>
    <row r="506" ht="16.5" customHeight="1" x14ac:dyDescent="0.15"/>
    <row r="507" ht="16.5" customHeight="1" x14ac:dyDescent="0.15"/>
    <row r="508" ht="16.5" customHeight="1" x14ac:dyDescent="0.15"/>
    <row r="509" ht="16.5" customHeight="1" x14ac:dyDescent="0.15"/>
    <row r="510" ht="16.5" customHeight="1" x14ac:dyDescent="0.15"/>
    <row r="511" ht="16.5" customHeight="1" x14ac:dyDescent="0.15"/>
    <row r="512" ht="16.5" customHeight="1" x14ac:dyDescent="0.15"/>
    <row r="513" ht="16.5" customHeight="1" x14ac:dyDescent="0.15"/>
    <row r="514" ht="16.5" customHeight="1" x14ac:dyDescent="0.15"/>
    <row r="515" ht="16.5" customHeight="1" x14ac:dyDescent="0.15"/>
    <row r="516" ht="16.5" customHeight="1" x14ac:dyDescent="0.15"/>
    <row r="517" ht="16.5" customHeight="1" x14ac:dyDescent="0.15"/>
    <row r="518" ht="16.5" customHeight="1" x14ac:dyDescent="0.15"/>
    <row r="519" ht="16.5" customHeight="1" x14ac:dyDescent="0.15"/>
    <row r="520" ht="16.5" customHeight="1" x14ac:dyDescent="0.15"/>
    <row r="521" ht="16.5" customHeight="1" x14ac:dyDescent="0.15"/>
    <row r="522" ht="16.5" customHeight="1" x14ac:dyDescent="0.15"/>
    <row r="523" ht="16.5" customHeight="1" x14ac:dyDescent="0.15"/>
    <row r="524" ht="16.5" customHeight="1" x14ac:dyDescent="0.15"/>
    <row r="525" ht="16.5" customHeight="1" x14ac:dyDescent="0.15"/>
    <row r="526" ht="16.5" customHeight="1" x14ac:dyDescent="0.15"/>
    <row r="527" ht="16.5" customHeight="1" x14ac:dyDescent="0.15"/>
    <row r="528" ht="16.5" customHeight="1" x14ac:dyDescent="0.15"/>
    <row r="529" ht="16.5" customHeight="1" x14ac:dyDescent="0.15"/>
    <row r="530" ht="16.5" customHeight="1" x14ac:dyDescent="0.15"/>
    <row r="531" ht="16.5" customHeight="1" x14ac:dyDescent="0.15"/>
    <row r="532" ht="16.5" customHeight="1" x14ac:dyDescent="0.15"/>
    <row r="533" ht="16.5" customHeight="1" x14ac:dyDescent="0.15"/>
    <row r="534" ht="16.5" customHeight="1" x14ac:dyDescent="0.15"/>
    <row r="535" ht="16.5" customHeight="1" x14ac:dyDescent="0.15"/>
    <row r="536" ht="16.5" customHeight="1" x14ac:dyDescent="0.15"/>
    <row r="537" ht="16.5" customHeight="1" x14ac:dyDescent="0.15"/>
    <row r="538" ht="16.5" customHeight="1" x14ac:dyDescent="0.15"/>
    <row r="539" ht="16.5" customHeight="1" x14ac:dyDescent="0.15"/>
    <row r="540" ht="16.5" customHeight="1" x14ac:dyDescent="0.15"/>
    <row r="541" ht="16.5" customHeight="1" x14ac:dyDescent="0.15"/>
    <row r="542" ht="16.5" customHeight="1" x14ac:dyDescent="0.15"/>
    <row r="543" ht="16.5" customHeight="1" x14ac:dyDescent="0.15"/>
    <row r="544" ht="16.5" customHeight="1" x14ac:dyDescent="0.15"/>
    <row r="545" ht="16.5" customHeight="1" x14ac:dyDescent="0.15"/>
    <row r="546" ht="16.5" customHeight="1" x14ac:dyDescent="0.15"/>
    <row r="547" ht="16.5" customHeight="1" x14ac:dyDescent="0.15"/>
    <row r="548" ht="16.5" customHeight="1" x14ac:dyDescent="0.15"/>
    <row r="549" ht="16.5" customHeight="1" x14ac:dyDescent="0.15"/>
    <row r="550" ht="16.5" customHeight="1" x14ac:dyDescent="0.15"/>
    <row r="551" ht="16.5" customHeight="1" x14ac:dyDescent="0.15"/>
    <row r="552" ht="16.5" customHeight="1" x14ac:dyDescent="0.15"/>
    <row r="553" ht="16.5" customHeight="1" x14ac:dyDescent="0.15"/>
    <row r="554" ht="16.5" customHeight="1" x14ac:dyDescent="0.15"/>
    <row r="555" ht="16.5" customHeight="1" x14ac:dyDescent="0.15"/>
    <row r="556" ht="16.5" customHeight="1" x14ac:dyDescent="0.15"/>
    <row r="557" ht="16.5" customHeight="1" x14ac:dyDescent="0.15"/>
    <row r="558" ht="16.5" customHeight="1" x14ac:dyDescent="0.15"/>
    <row r="559" ht="16.5" customHeight="1" x14ac:dyDescent="0.15"/>
    <row r="560" ht="16.5" customHeight="1" x14ac:dyDescent="0.15"/>
    <row r="561" ht="16.5" customHeight="1" x14ac:dyDescent="0.15"/>
    <row r="562" ht="16.5" customHeight="1" x14ac:dyDescent="0.15"/>
    <row r="563" ht="16.5" customHeight="1" x14ac:dyDescent="0.15"/>
    <row r="564" ht="16.5" customHeight="1" x14ac:dyDescent="0.15"/>
    <row r="565" ht="16.5" customHeight="1" x14ac:dyDescent="0.15"/>
    <row r="566" ht="16.5" customHeight="1" x14ac:dyDescent="0.15"/>
    <row r="567" ht="16.5" customHeight="1" x14ac:dyDescent="0.15"/>
    <row r="568" ht="16.5" customHeight="1" x14ac:dyDescent="0.15"/>
    <row r="569" ht="16.5" customHeight="1" x14ac:dyDescent="0.15"/>
    <row r="570" ht="16.5" customHeight="1" x14ac:dyDescent="0.15"/>
    <row r="571" ht="16.5" customHeight="1" x14ac:dyDescent="0.15"/>
    <row r="572" ht="16.5" customHeight="1" x14ac:dyDescent="0.15"/>
    <row r="573" ht="16.5" customHeight="1" x14ac:dyDescent="0.15"/>
    <row r="574" ht="16.5" customHeight="1" x14ac:dyDescent="0.15"/>
    <row r="575" ht="16.5" customHeight="1" x14ac:dyDescent="0.15"/>
    <row r="576" ht="16.5" customHeight="1" x14ac:dyDescent="0.15"/>
    <row r="577" ht="16.5" customHeight="1" x14ac:dyDescent="0.15"/>
    <row r="578" ht="16.5" customHeight="1" x14ac:dyDescent="0.15"/>
    <row r="579" ht="16.5" customHeight="1" x14ac:dyDescent="0.15"/>
    <row r="580" ht="16.5" customHeight="1" x14ac:dyDescent="0.15"/>
    <row r="581" ht="16.5" customHeight="1" x14ac:dyDescent="0.15"/>
    <row r="582" ht="16.5" customHeight="1" x14ac:dyDescent="0.15"/>
    <row r="583" ht="16.5" customHeight="1" x14ac:dyDescent="0.15"/>
    <row r="584" ht="16.5" customHeight="1" x14ac:dyDescent="0.15"/>
    <row r="585" ht="16.5" customHeight="1" x14ac:dyDescent="0.15"/>
    <row r="586" ht="16.5" customHeight="1" x14ac:dyDescent="0.15"/>
    <row r="587" ht="16.5" customHeight="1" x14ac:dyDescent="0.15"/>
    <row r="588" ht="16.5" customHeight="1" x14ac:dyDescent="0.15"/>
    <row r="589" ht="16.5" customHeight="1" x14ac:dyDescent="0.15"/>
    <row r="590" ht="16.5" customHeight="1" x14ac:dyDescent="0.15"/>
    <row r="591" ht="16.5" customHeight="1" x14ac:dyDescent="0.15"/>
    <row r="592" ht="16.5" customHeight="1" x14ac:dyDescent="0.15"/>
    <row r="593" ht="16.5" customHeight="1" x14ac:dyDescent="0.15"/>
    <row r="594" ht="16.5" customHeight="1" x14ac:dyDescent="0.15"/>
    <row r="595" ht="16.5" customHeight="1" x14ac:dyDescent="0.15"/>
    <row r="596" ht="16.5" customHeight="1" x14ac:dyDescent="0.15"/>
    <row r="597" ht="16.5" customHeight="1" x14ac:dyDescent="0.15"/>
    <row r="598" ht="16.5" customHeight="1" x14ac:dyDescent="0.15"/>
    <row r="599" ht="16.5" customHeight="1" x14ac:dyDescent="0.15"/>
    <row r="600" ht="16.5" customHeight="1" x14ac:dyDescent="0.15"/>
    <row r="601" ht="16.5" customHeight="1" x14ac:dyDescent="0.15"/>
    <row r="602" ht="16.5" customHeight="1" x14ac:dyDescent="0.15"/>
    <row r="603" ht="16.5" customHeight="1" x14ac:dyDescent="0.15"/>
    <row r="604" ht="16.5" customHeight="1" x14ac:dyDescent="0.15"/>
    <row r="605" ht="16.5" customHeight="1" x14ac:dyDescent="0.15"/>
    <row r="606" ht="16.5" customHeight="1" x14ac:dyDescent="0.15"/>
    <row r="607" ht="16.5" customHeight="1" x14ac:dyDescent="0.15"/>
    <row r="608" ht="16.5" customHeight="1" x14ac:dyDescent="0.15"/>
    <row r="609" ht="16.5" customHeight="1" x14ac:dyDescent="0.15"/>
    <row r="610" ht="16.5" customHeight="1" x14ac:dyDescent="0.15"/>
    <row r="611" ht="16.5" customHeight="1" x14ac:dyDescent="0.15"/>
    <row r="612" ht="16.5" customHeight="1" x14ac:dyDescent="0.15"/>
    <row r="613" ht="16.5" customHeight="1" x14ac:dyDescent="0.15"/>
    <row r="614" ht="16.5" customHeight="1" x14ac:dyDescent="0.15"/>
    <row r="615" ht="16.5" customHeight="1" x14ac:dyDescent="0.15"/>
    <row r="616" ht="16.5" customHeight="1" x14ac:dyDescent="0.15"/>
    <row r="617" ht="16.5" customHeight="1" x14ac:dyDescent="0.15"/>
    <row r="618" ht="16.5" customHeight="1" x14ac:dyDescent="0.15"/>
    <row r="619" ht="16.5" customHeight="1" x14ac:dyDescent="0.15"/>
    <row r="620" ht="16.5" customHeight="1" x14ac:dyDescent="0.15"/>
    <row r="621" ht="16.5" customHeight="1" x14ac:dyDescent="0.15"/>
    <row r="622" ht="16.5" customHeight="1" x14ac:dyDescent="0.15"/>
    <row r="623" ht="16.5" customHeight="1" x14ac:dyDescent="0.15"/>
    <row r="624" ht="16.5" customHeight="1" x14ac:dyDescent="0.15"/>
    <row r="625" ht="16.5" customHeight="1" x14ac:dyDescent="0.15"/>
    <row r="626" ht="16.5" customHeight="1" x14ac:dyDescent="0.15"/>
    <row r="627" ht="16.5" customHeight="1" x14ac:dyDescent="0.15"/>
    <row r="628" ht="16.5" customHeight="1" x14ac:dyDescent="0.15"/>
    <row r="629" ht="16.5" customHeight="1" x14ac:dyDescent="0.15"/>
    <row r="630" ht="16.5" customHeight="1" x14ac:dyDescent="0.15"/>
    <row r="631" ht="16.5" customHeight="1" x14ac:dyDescent="0.15"/>
    <row r="632" ht="16.5" customHeight="1" x14ac:dyDescent="0.15"/>
    <row r="633" ht="16.5" customHeight="1" x14ac:dyDescent="0.15"/>
    <row r="634" ht="16.5" customHeight="1" x14ac:dyDescent="0.15"/>
    <row r="635" ht="16.5" customHeight="1" x14ac:dyDescent="0.15"/>
    <row r="636" ht="16.5" customHeight="1" x14ac:dyDescent="0.15"/>
    <row r="637" ht="16.5" customHeight="1" x14ac:dyDescent="0.15"/>
    <row r="638" ht="16.5" customHeight="1" x14ac:dyDescent="0.15"/>
    <row r="639" ht="16.5" customHeight="1" x14ac:dyDescent="0.15"/>
    <row r="640" ht="16.5" customHeight="1" x14ac:dyDescent="0.15"/>
    <row r="641" ht="16.5" customHeight="1" x14ac:dyDescent="0.15"/>
    <row r="642" ht="16.5" customHeight="1" x14ac:dyDescent="0.15"/>
    <row r="643" ht="16.5" customHeight="1" x14ac:dyDescent="0.15"/>
    <row r="644" ht="16.5" customHeight="1" x14ac:dyDescent="0.15"/>
    <row r="645" ht="16.5" customHeight="1" x14ac:dyDescent="0.15"/>
    <row r="646" ht="16.5" customHeight="1" x14ac:dyDescent="0.15"/>
    <row r="647" ht="16.5" customHeight="1" x14ac:dyDescent="0.15"/>
    <row r="648" ht="16.5" customHeight="1" x14ac:dyDescent="0.15"/>
    <row r="649" ht="16.5" customHeight="1" x14ac:dyDescent="0.15"/>
    <row r="650" ht="16.5" customHeight="1" x14ac:dyDescent="0.15"/>
    <row r="651" ht="16.5" customHeight="1" x14ac:dyDescent="0.15"/>
    <row r="652" ht="16.5" customHeight="1" x14ac:dyDescent="0.15"/>
    <row r="653" ht="16.5" customHeight="1" x14ac:dyDescent="0.15"/>
    <row r="654" ht="16.5" customHeight="1" x14ac:dyDescent="0.15"/>
    <row r="655" ht="16.5" customHeight="1" x14ac:dyDescent="0.15"/>
    <row r="656" ht="16.5" customHeight="1" x14ac:dyDescent="0.15"/>
    <row r="657" ht="16.5" customHeight="1" x14ac:dyDescent="0.15"/>
    <row r="658" ht="16.5" customHeight="1" x14ac:dyDescent="0.15"/>
    <row r="659" ht="16.5" customHeight="1" x14ac:dyDescent="0.15"/>
    <row r="660" ht="16.5" customHeight="1" x14ac:dyDescent="0.15"/>
    <row r="661" ht="16.5" customHeight="1" x14ac:dyDescent="0.15"/>
    <row r="662" ht="16.5" customHeight="1" x14ac:dyDescent="0.15"/>
    <row r="663" ht="16.5" customHeight="1" x14ac:dyDescent="0.15"/>
    <row r="664" ht="16.5" customHeight="1" x14ac:dyDescent="0.15"/>
    <row r="665" ht="16.5" customHeight="1" x14ac:dyDescent="0.15"/>
    <row r="666" ht="16.5" customHeight="1" x14ac:dyDescent="0.15"/>
    <row r="667" ht="16.5" customHeight="1" x14ac:dyDescent="0.15"/>
    <row r="668" ht="16.5" customHeight="1" x14ac:dyDescent="0.15"/>
    <row r="669" ht="16.5" customHeight="1" x14ac:dyDescent="0.15"/>
    <row r="670" ht="16.5" customHeight="1" x14ac:dyDescent="0.15"/>
    <row r="671" ht="16.5" customHeight="1" x14ac:dyDescent="0.15"/>
    <row r="672" ht="16.5" customHeight="1" x14ac:dyDescent="0.15"/>
    <row r="673" ht="16.5" customHeight="1" x14ac:dyDescent="0.15"/>
    <row r="674" ht="16.5" customHeight="1" x14ac:dyDescent="0.15"/>
    <row r="675" ht="16.5" customHeight="1" x14ac:dyDescent="0.15"/>
    <row r="676" ht="16.5" customHeight="1" x14ac:dyDescent="0.15"/>
    <row r="677" ht="16.5" customHeight="1" x14ac:dyDescent="0.15"/>
    <row r="678" ht="16.5" customHeight="1" x14ac:dyDescent="0.15"/>
    <row r="679" ht="16.5" customHeight="1" x14ac:dyDescent="0.15"/>
    <row r="680" ht="16.5" customHeight="1" x14ac:dyDescent="0.15"/>
    <row r="681" ht="16.5" customHeight="1" x14ac:dyDescent="0.15"/>
    <row r="682" ht="16.5" customHeight="1" x14ac:dyDescent="0.15"/>
    <row r="683" ht="16.5" customHeight="1" x14ac:dyDescent="0.15"/>
    <row r="684" ht="16.5" customHeight="1" x14ac:dyDescent="0.15"/>
    <row r="685" ht="16.5" customHeight="1" x14ac:dyDescent="0.15"/>
    <row r="686" ht="16.5" customHeight="1" x14ac:dyDescent="0.15"/>
    <row r="687" ht="16.5" customHeight="1" x14ac:dyDescent="0.15"/>
    <row r="688" ht="16.5" customHeight="1" x14ac:dyDescent="0.15"/>
    <row r="689" ht="16.5" customHeight="1" x14ac:dyDescent="0.15"/>
    <row r="690" ht="16.5" customHeight="1" x14ac:dyDescent="0.15"/>
    <row r="691" ht="16.5" customHeight="1" x14ac:dyDescent="0.15"/>
    <row r="692" ht="16.5" customHeight="1" x14ac:dyDescent="0.15"/>
    <row r="693" ht="16.5" customHeight="1" x14ac:dyDescent="0.15"/>
    <row r="694" ht="16.5" customHeight="1" x14ac:dyDescent="0.15"/>
    <row r="695" ht="16.5" customHeight="1" x14ac:dyDescent="0.15"/>
    <row r="696" ht="16.5" customHeight="1" x14ac:dyDescent="0.15"/>
    <row r="697" ht="16.5" customHeight="1" x14ac:dyDescent="0.15"/>
    <row r="698" ht="16.5" customHeight="1" x14ac:dyDescent="0.15"/>
    <row r="699" ht="16.5" customHeight="1" x14ac:dyDescent="0.15"/>
    <row r="700" ht="16.5" customHeight="1" x14ac:dyDescent="0.15"/>
    <row r="701" ht="16.5" customHeight="1" x14ac:dyDescent="0.15"/>
    <row r="702" ht="16.5" customHeight="1" x14ac:dyDescent="0.15"/>
    <row r="703" ht="16.5" customHeight="1" x14ac:dyDescent="0.15"/>
    <row r="704" ht="16.5" customHeight="1" x14ac:dyDescent="0.15"/>
    <row r="705" ht="16.5" customHeight="1" x14ac:dyDescent="0.15"/>
    <row r="706" ht="16.5" customHeight="1" x14ac:dyDescent="0.15"/>
    <row r="707" ht="16.5" customHeight="1" x14ac:dyDescent="0.15"/>
    <row r="708" ht="16.5" customHeight="1" x14ac:dyDescent="0.15"/>
    <row r="709" ht="16.5" customHeight="1" x14ac:dyDescent="0.15"/>
    <row r="710" ht="16.5" customHeight="1" x14ac:dyDescent="0.15"/>
    <row r="711" ht="16.5" customHeight="1" x14ac:dyDescent="0.15"/>
    <row r="712" ht="16.5" customHeight="1" x14ac:dyDescent="0.15"/>
    <row r="713" ht="16.5" customHeight="1" x14ac:dyDescent="0.15"/>
    <row r="714" ht="16.5" customHeight="1" x14ac:dyDescent="0.15"/>
    <row r="715" ht="16.5" customHeight="1" x14ac:dyDescent="0.15"/>
    <row r="716" ht="16.5" customHeight="1" x14ac:dyDescent="0.15"/>
    <row r="717" ht="16.5" customHeight="1" x14ac:dyDescent="0.15"/>
    <row r="718" ht="16.5" customHeight="1" x14ac:dyDescent="0.15"/>
    <row r="719" ht="16.5" customHeight="1" x14ac:dyDescent="0.15"/>
    <row r="720" ht="16.5" customHeight="1" x14ac:dyDescent="0.15"/>
    <row r="721" ht="16.5" customHeight="1" x14ac:dyDescent="0.15"/>
    <row r="722" ht="16.5" customHeight="1" x14ac:dyDescent="0.15"/>
    <row r="723" ht="16.5" customHeight="1" x14ac:dyDescent="0.15"/>
    <row r="724" ht="16.5" customHeight="1" x14ac:dyDescent="0.15"/>
    <row r="725" ht="16.5" customHeight="1" x14ac:dyDescent="0.15"/>
    <row r="726" ht="16.5" customHeight="1" x14ac:dyDescent="0.15"/>
    <row r="727" ht="16.5" customHeight="1" x14ac:dyDescent="0.15"/>
    <row r="728" ht="16.5" customHeight="1" x14ac:dyDescent="0.15"/>
    <row r="729" ht="16.5" customHeight="1" x14ac:dyDescent="0.15"/>
    <row r="730" ht="16.5" customHeight="1" x14ac:dyDescent="0.15"/>
    <row r="731" ht="16.5" customHeight="1" x14ac:dyDescent="0.15"/>
    <row r="732" ht="16.5" customHeight="1" x14ac:dyDescent="0.15"/>
    <row r="733" ht="16.5" customHeight="1" x14ac:dyDescent="0.15"/>
    <row r="734" ht="16.5" customHeight="1" x14ac:dyDescent="0.15"/>
    <row r="735" ht="16.5" customHeight="1" x14ac:dyDescent="0.15"/>
    <row r="736" ht="16.5" customHeight="1" x14ac:dyDescent="0.15"/>
    <row r="737" ht="16.5" customHeight="1" x14ac:dyDescent="0.15"/>
    <row r="738" ht="16.5" customHeight="1" x14ac:dyDescent="0.15"/>
    <row r="739" ht="16.5" customHeight="1" x14ac:dyDescent="0.15"/>
    <row r="740" ht="16.5" customHeight="1" x14ac:dyDescent="0.15"/>
    <row r="741" ht="16.5" customHeight="1" x14ac:dyDescent="0.15"/>
    <row r="742" ht="16.5" customHeight="1" x14ac:dyDescent="0.15"/>
    <row r="743" ht="16.5" customHeight="1" x14ac:dyDescent="0.15"/>
    <row r="744" ht="16.5" customHeight="1" x14ac:dyDescent="0.15"/>
    <row r="745" ht="16.5" customHeight="1" x14ac:dyDescent="0.15"/>
    <row r="746" ht="16.5" customHeight="1" x14ac:dyDescent="0.15"/>
    <row r="747" ht="16.5" customHeight="1" x14ac:dyDescent="0.15"/>
    <row r="748" ht="16.5" customHeight="1" x14ac:dyDescent="0.15"/>
    <row r="749" ht="16.5" customHeight="1" x14ac:dyDescent="0.15"/>
    <row r="750" ht="16.5" customHeight="1" x14ac:dyDescent="0.15"/>
    <row r="751" ht="16.5" customHeight="1" x14ac:dyDescent="0.15"/>
    <row r="752" ht="16.5" customHeight="1" x14ac:dyDescent="0.15"/>
    <row r="753" ht="16.5" customHeight="1" x14ac:dyDescent="0.15"/>
    <row r="754" ht="16.5" customHeight="1" x14ac:dyDescent="0.15"/>
    <row r="755" ht="16.5" customHeight="1" x14ac:dyDescent="0.15"/>
    <row r="756" ht="16.5" customHeight="1" x14ac:dyDescent="0.15"/>
    <row r="757" ht="16.5" customHeight="1" x14ac:dyDescent="0.15"/>
    <row r="758" ht="16.5" customHeight="1" x14ac:dyDescent="0.15"/>
    <row r="759" ht="16.5" customHeight="1" x14ac:dyDescent="0.15"/>
    <row r="760" ht="16.5" customHeight="1" x14ac:dyDescent="0.15"/>
    <row r="761" ht="16.5" customHeight="1" x14ac:dyDescent="0.15"/>
    <row r="762" ht="16.5" customHeight="1" x14ac:dyDescent="0.15"/>
    <row r="763" ht="16.5" customHeight="1" x14ac:dyDescent="0.15"/>
    <row r="764" ht="16.5" customHeight="1" x14ac:dyDescent="0.15"/>
    <row r="765" ht="16.5" customHeight="1" x14ac:dyDescent="0.15"/>
    <row r="766" ht="16.5" customHeight="1" x14ac:dyDescent="0.15"/>
    <row r="767" ht="16.5" customHeight="1" x14ac:dyDescent="0.15"/>
    <row r="768" ht="16.5" customHeight="1" x14ac:dyDescent="0.15"/>
    <row r="769" ht="16.5" customHeight="1" x14ac:dyDescent="0.15"/>
    <row r="770" ht="16.5" customHeight="1" x14ac:dyDescent="0.15"/>
    <row r="771" ht="16.5" customHeight="1" x14ac:dyDescent="0.15"/>
    <row r="772" ht="16.5" customHeight="1" x14ac:dyDescent="0.15"/>
    <row r="773" ht="16.5" customHeight="1" x14ac:dyDescent="0.15"/>
    <row r="774" ht="16.5" customHeight="1" x14ac:dyDescent="0.15"/>
    <row r="775" ht="16.5" customHeight="1" x14ac:dyDescent="0.15"/>
    <row r="776" ht="16.5" customHeight="1" x14ac:dyDescent="0.15"/>
    <row r="777" ht="16.5" customHeight="1" x14ac:dyDescent="0.15"/>
    <row r="778" ht="16.5" customHeight="1" x14ac:dyDescent="0.15"/>
    <row r="779" ht="16.5" customHeight="1" x14ac:dyDescent="0.15"/>
    <row r="780" ht="16.5" customHeight="1" x14ac:dyDescent="0.15"/>
    <row r="781" ht="16.5" customHeight="1" x14ac:dyDescent="0.15"/>
    <row r="782" ht="16.5" customHeight="1" x14ac:dyDescent="0.15"/>
    <row r="783" ht="16.5" customHeight="1" x14ac:dyDescent="0.15"/>
    <row r="784" ht="16.5" customHeight="1" x14ac:dyDescent="0.15"/>
    <row r="785" ht="16.5" customHeight="1" x14ac:dyDescent="0.15"/>
    <row r="786" ht="16.5" customHeight="1" x14ac:dyDescent="0.15"/>
    <row r="787" ht="16.5" customHeight="1" x14ac:dyDescent="0.15"/>
    <row r="788" ht="16.5" customHeight="1" x14ac:dyDescent="0.15"/>
    <row r="789" ht="16.5" customHeight="1" x14ac:dyDescent="0.15"/>
    <row r="790" ht="16.5" customHeight="1" x14ac:dyDescent="0.15"/>
    <row r="791" ht="16.5" customHeight="1" x14ac:dyDescent="0.15"/>
    <row r="792" ht="16.5" customHeight="1" x14ac:dyDescent="0.15"/>
    <row r="793" ht="16.5" customHeight="1" x14ac:dyDescent="0.15"/>
    <row r="794" ht="16.5" customHeight="1" x14ac:dyDescent="0.15"/>
    <row r="795" ht="16.5" customHeight="1" x14ac:dyDescent="0.15"/>
    <row r="796" ht="16.5" customHeight="1" x14ac:dyDescent="0.15"/>
    <row r="797" ht="16.5" customHeight="1" x14ac:dyDescent="0.15"/>
    <row r="798" ht="16.5" customHeight="1" x14ac:dyDescent="0.15"/>
    <row r="799" ht="16.5" customHeight="1" x14ac:dyDescent="0.15"/>
    <row r="800" ht="16.5" customHeight="1" x14ac:dyDescent="0.15"/>
    <row r="801" ht="16.5" customHeight="1" x14ac:dyDescent="0.15"/>
    <row r="802" ht="16.5" customHeight="1" x14ac:dyDescent="0.15"/>
    <row r="803" ht="16.5" customHeight="1" x14ac:dyDescent="0.15"/>
    <row r="804" ht="16.5" customHeight="1" x14ac:dyDescent="0.15"/>
    <row r="805" ht="16.5" customHeight="1" x14ac:dyDescent="0.15"/>
    <row r="806" ht="16.5" customHeight="1" x14ac:dyDescent="0.15"/>
    <row r="807" ht="16.5" customHeight="1" x14ac:dyDescent="0.15"/>
    <row r="808" ht="16.5" customHeight="1" x14ac:dyDescent="0.15"/>
    <row r="809" ht="16.5" customHeight="1" x14ac:dyDescent="0.15"/>
    <row r="810" ht="16.5" customHeight="1" x14ac:dyDescent="0.15"/>
    <row r="811" ht="16.5" customHeight="1" x14ac:dyDescent="0.15"/>
    <row r="812" ht="16.5" customHeight="1" x14ac:dyDescent="0.15"/>
    <row r="813" ht="16.5" customHeight="1" x14ac:dyDescent="0.15"/>
    <row r="814" ht="16.5" customHeight="1" x14ac:dyDescent="0.15"/>
    <row r="815" ht="16.5" customHeight="1" x14ac:dyDescent="0.15"/>
    <row r="816" ht="16.5" customHeight="1" x14ac:dyDescent="0.15"/>
    <row r="817" ht="16.5" customHeight="1" x14ac:dyDescent="0.15"/>
    <row r="818" ht="16.5" customHeight="1" x14ac:dyDescent="0.15"/>
    <row r="819" ht="16.5" customHeight="1" x14ac:dyDescent="0.15"/>
    <row r="820" ht="16.5" customHeight="1" x14ac:dyDescent="0.15"/>
    <row r="821" ht="16.5" customHeight="1" x14ac:dyDescent="0.15"/>
    <row r="822" ht="16.5" customHeight="1" x14ac:dyDescent="0.15"/>
    <row r="823" ht="16.5" customHeight="1" x14ac:dyDescent="0.15"/>
    <row r="824" ht="16.5" customHeight="1" x14ac:dyDescent="0.15"/>
    <row r="825" ht="16.5" customHeight="1" x14ac:dyDescent="0.15"/>
    <row r="826" ht="16.5" customHeight="1" x14ac:dyDescent="0.15"/>
    <row r="827" ht="16.5" customHeight="1" x14ac:dyDescent="0.15"/>
    <row r="828" ht="16.5" customHeight="1" x14ac:dyDescent="0.15"/>
    <row r="829" ht="16.5" customHeight="1" x14ac:dyDescent="0.15"/>
    <row r="830" ht="16.5" customHeight="1" x14ac:dyDescent="0.15"/>
    <row r="831" ht="16.5" customHeight="1" x14ac:dyDescent="0.15"/>
    <row r="832" ht="16.5" customHeight="1" x14ac:dyDescent="0.15"/>
    <row r="833" ht="16.5" customHeight="1" x14ac:dyDescent="0.15"/>
    <row r="834" ht="16.5" customHeight="1" x14ac:dyDescent="0.15"/>
    <row r="835" ht="16.5" customHeight="1" x14ac:dyDescent="0.15"/>
    <row r="836" ht="16.5" customHeight="1" x14ac:dyDescent="0.15"/>
    <row r="837" ht="16.5" customHeight="1" x14ac:dyDescent="0.15"/>
    <row r="838" ht="16.5" customHeight="1" x14ac:dyDescent="0.15"/>
    <row r="839" ht="16.5" customHeight="1" x14ac:dyDescent="0.15"/>
    <row r="840" ht="16.5" customHeight="1" x14ac:dyDescent="0.15"/>
    <row r="841" ht="16.5" customHeight="1" x14ac:dyDescent="0.15"/>
    <row r="842" ht="16.5" customHeight="1" x14ac:dyDescent="0.15"/>
    <row r="843" ht="16.5" customHeight="1" x14ac:dyDescent="0.15"/>
    <row r="844" ht="16.5" customHeight="1" x14ac:dyDescent="0.15"/>
    <row r="845" ht="16.5" customHeight="1" x14ac:dyDescent="0.15"/>
    <row r="846" ht="16.5" customHeight="1" x14ac:dyDescent="0.15"/>
    <row r="847" ht="16.5" customHeight="1" x14ac:dyDescent="0.15"/>
    <row r="848" ht="16.5" customHeight="1" x14ac:dyDescent="0.15"/>
    <row r="849" ht="16.5" customHeight="1" x14ac:dyDescent="0.15"/>
    <row r="850" ht="16.5" customHeight="1" x14ac:dyDescent="0.15"/>
    <row r="851" ht="16.5" customHeight="1" x14ac:dyDescent="0.15"/>
    <row r="852" ht="16.5" customHeight="1" x14ac:dyDescent="0.15"/>
    <row r="853" ht="16.5" customHeight="1" x14ac:dyDescent="0.15"/>
    <row r="854" ht="16.5" customHeight="1" x14ac:dyDescent="0.15"/>
    <row r="855" ht="16.5" customHeight="1" x14ac:dyDescent="0.15"/>
    <row r="856" ht="16.5" customHeight="1" x14ac:dyDescent="0.15"/>
    <row r="857" ht="16.5" customHeight="1" x14ac:dyDescent="0.15"/>
    <row r="858" ht="16.5" customHeight="1" x14ac:dyDescent="0.15"/>
    <row r="859" ht="16.5" customHeight="1" x14ac:dyDescent="0.15"/>
    <row r="860" ht="16.5" customHeight="1" x14ac:dyDescent="0.15"/>
    <row r="861" ht="16.5" customHeight="1" x14ac:dyDescent="0.15"/>
    <row r="862" ht="16.5" customHeight="1" x14ac:dyDescent="0.15"/>
    <row r="863" ht="16.5" customHeight="1" x14ac:dyDescent="0.15"/>
    <row r="864" ht="16.5" customHeight="1" x14ac:dyDescent="0.15"/>
    <row r="865" ht="16.5" customHeight="1" x14ac:dyDescent="0.15"/>
    <row r="866" ht="16.5" customHeight="1" x14ac:dyDescent="0.15"/>
    <row r="867" ht="16.5" customHeight="1" x14ac:dyDescent="0.15"/>
    <row r="868" ht="16.5" customHeight="1" x14ac:dyDescent="0.15"/>
    <row r="869" ht="16.5" customHeight="1" x14ac:dyDescent="0.15"/>
    <row r="870" ht="16.5" customHeight="1" x14ac:dyDescent="0.15"/>
    <row r="871" ht="16.5" customHeight="1" x14ac:dyDescent="0.15"/>
    <row r="872" ht="16.5" customHeight="1" x14ac:dyDescent="0.15"/>
    <row r="873" ht="16.5" customHeight="1" x14ac:dyDescent="0.15"/>
    <row r="874" ht="16.5" customHeight="1" x14ac:dyDescent="0.15"/>
    <row r="875" ht="16.5" customHeight="1" x14ac:dyDescent="0.15"/>
    <row r="876" ht="16.5" customHeight="1" x14ac:dyDescent="0.15"/>
    <row r="877" ht="16.5" customHeight="1" x14ac:dyDescent="0.15"/>
    <row r="878" ht="16.5" customHeight="1" x14ac:dyDescent="0.15"/>
    <row r="879" ht="16.5" customHeight="1" x14ac:dyDescent="0.15"/>
    <row r="880" ht="16.5" customHeight="1" x14ac:dyDescent="0.15"/>
    <row r="881" ht="16.5" customHeight="1" x14ac:dyDescent="0.15"/>
    <row r="882" ht="16.5" customHeight="1" x14ac:dyDescent="0.15"/>
    <row r="883" ht="16.5" customHeight="1" x14ac:dyDescent="0.15"/>
    <row r="884" ht="16.5" customHeight="1" x14ac:dyDescent="0.15"/>
    <row r="885" ht="16.5" customHeight="1" x14ac:dyDescent="0.15"/>
    <row r="886" ht="16.5" customHeight="1" x14ac:dyDescent="0.15"/>
    <row r="887" ht="16.5" customHeight="1" x14ac:dyDescent="0.15"/>
    <row r="888" ht="16.5" customHeight="1" x14ac:dyDescent="0.15"/>
    <row r="889" ht="16.5" customHeight="1" x14ac:dyDescent="0.15"/>
    <row r="890" ht="16.5" customHeight="1" x14ac:dyDescent="0.15"/>
    <row r="891" ht="16.5" customHeight="1" x14ac:dyDescent="0.15"/>
    <row r="892" ht="16.5" customHeight="1" x14ac:dyDescent="0.15"/>
    <row r="893" ht="16.5" customHeight="1" x14ac:dyDescent="0.15"/>
    <row r="894" ht="16.5" customHeight="1" x14ac:dyDescent="0.15"/>
    <row r="895" ht="16.5" customHeight="1" x14ac:dyDescent="0.15"/>
    <row r="896" ht="16.5" customHeight="1" x14ac:dyDescent="0.15"/>
    <row r="897" ht="16.5" customHeight="1" x14ac:dyDescent="0.15"/>
    <row r="898" ht="16.5" customHeight="1" x14ac:dyDescent="0.15"/>
    <row r="899" ht="16.5" customHeight="1" x14ac:dyDescent="0.15"/>
    <row r="900" ht="16.5" customHeight="1" x14ac:dyDescent="0.15"/>
    <row r="901" ht="16.5" customHeight="1" x14ac:dyDescent="0.15"/>
    <row r="902" ht="16.5" customHeight="1" x14ac:dyDescent="0.15"/>
    <row r="903" ht="16.5" customHeight="1" x14ac:dyDescent="0.15"/>
    <row r="904" ht="16.5" customHeight="1" x14ac:dyDescent="0.15"/>
    <row r="905" ht="16.5" customHeight="1" x14ac:dyDescent="0.15"/>
    <row r="906" ht="16.5" customHeight="1" x14ac:dyDescent="0.15"/>
    <row r="907" ht="16.5" customHeight="1" x14ac:dyDescent="0.15"/>
    <row r="908" ht="16.5" customHeight="1" x14ac:dyDescent="0.15"/>
    <row r="909" ht="16.5" customHeight="1" x14ac:dyDescent="0.15"/>
    <row r="910" ht="16.5" customHeight="1" x14ac:dyDescent="0.15"/>
    <row r="911" ht="16.5" customHeight="1" x14ac:dyDescent="0.15"/>
    <row r="912" ht="16.5" customHeight="1" x14ac:dyDescent="0.15"/>
    <row r="913" ht="16.5" customHeight="1" x14ac:dyDescent="0.15"/>
    <row r="914" ht="16.5" customHeight="1" x14ac:dyDescent="0.15"/>
    <row r="915" ht="16.5" customHeight="1" x14ac:dyDescent="0.15"/>
    <row r="916" ht="16.5" customHeight="1" x14ac:dyDescent="0.15"/>
    <row r="917" ht="16.5" customHeight="1" x14ac:dyDescent="0.15"/>
    <row r="918" ht="16.5" customHeight="1" x14ac:dyDescent="0.15"/>
    <row r="919" ht="16.5" customHeight="1" x14ac:dyDescent="0.15"/>
    <row r="920" ht="16.5" customHeight="1" x14ac:dyDescent="0.15"/>
    <row r="921" ht="16.5" customHeight="1" x14ac:dyDescent="0.15"/>
    <row r="922" ht="16.5" customHeight="1" x14ac:dyDescent="0.15"/>
    <row r="923" ht="16.5" customHeight="1" x14ac:dyDescent="0.15"/>
    <row r="924" ht="16.5" customHeight="1" x14ac:dyDescent="0.15"/>
    <row r="925" ht="16.5" customHeight="1" x14ac:dyDescent="0.15"/>
    <row r="926" ht="16.5" customHeight="1" x14ac:dyDescent="0.15"/>
    <row r="927" ht="16.5" customHeight="1" x14ac:dyDescent="0.15"/>
    <row r="928" ht="16.5" customHeight="1" x14ac:dyDescent="0.15"/>
    <row r="929" ht="16.5" customHeight="1" x14ac:dyDescent="0.15"/>
    <row r="930" ht="16.5" customHeight="1" x14ac:dyDescent="0.15"/>
    <row r="931" ht="16.5" customHeight="1" x14ac:dyDescent="0.15"/>
    <row r="932" ht="16.5" customHeight="1" x14ac:dyDescent="0.15"/>
    <row r="933" ht="16.5" customHeight="1" x14ac:dyDescent="0.15"/>
    <row r="934" ht="16.5" customHeight="1" x14ac:dyDescent="0.15"/>
    <row r="935" ht="16.5" customHeight="1" x14ac:dyDescent="0.15"/>
    <row r="936" ht="16.5" customHeight="1" x14ac:dyDescent="0.15"/>
    <row r="937" ht="16.5" customHeight="1" x14ac:dyDescent="0.15"/>
    <row r="938" ht="16.5" customHeight="1" x14ac:dyDescent="0.15"/>
    <row r="939" ht="16.5" customHeight="1" x14ac:dyDescent="0.15"/>
    <row r="940" ht="16.5" customHeight="1" x14ac:dyDescent="0.15"/>
    <row r="941" ht="16.5" customHeight="1" x14ac:dyDescent="0.15"/>
    <row r="942" ht="16.5" customHeight="1" x14ac:dyDescent="0.15"/>
    <row r="943" ht="16.5" customHeight="1" x14ac:dyDescent="0.15"/>
    <row r="944" ht="16.5" customHeight="1" x14ac:dyDescent="0.15"/>
    <row r="945" ht="16.5" customHeight="1" x14ac:dyDescent="0.15"/>
    <row r="946" ht="16.5" customHeight="1" x14ac:dyDescent="0.15"/>
    <row r="947" ht="16.5" customHeight="1" x14ac:dyDescent="0.15"/>
    <row r="948" ht="16.5" customHeight="1" x14ac:dyDescent="0.15"/>
    <row r="949" ht="16.5" customHeight="1" x14ac:dyDescent="0.15"/>
    <row r="950" ht="16.5" customHeight="1" x14ac:dyDescent="0.15"/>
    <row r="951" ht="16.5" customHeight="1" x14ac:dyDescent="0.15"/>
    <row r="952" ht="16.5" customHeight="1" x14ac:dyDescent="0.15"/>
    <row r="953" ht="16.5" customHeight="1" x14ac:dyDescent="0.15"/>
    <row r="954" ht="16.5" customHeight="1" x14ac:dyDescent="0.15"/>
    <row r="955" ht="16.5" customHeight="1" x14ac:dyDescent="0.15"/>
    <row r="956" ht="16.5" customHeight="1" x14ac:dyDescent="0.15"/>
    <row r="957" ht="16.5" customHeight="1" x14ac:dyDescent="0.15"/>
    <row r="958" ht="16.5" customHeight="1" x14ac:dyDescent="0.15"/>
    <row r="959" ht="16.5" customHeight="1" x14ac:dyDescent="0.15"/>
    <row r="960" ht="16.5" customHeight="1" x14ac:dyDescent="0.15"/>
    <row r="961" ht="16.5" customHeight="1" x14ac:dyDescent="0.15"/>
    <row r="962" ht="16.5" customHeight="1" x14ac:dyDescent="0.15"/>
    <row r="963" ht="16.5" customHeight="1" x14ac:dyDescent="0.15"/>
    <row r="964" ht="16.5" customHeight="1" x14ac:dyDescent="0.15"/>
    <row r="965" ht="16.5" customHeight="1" x14ac:dyDescent="0.15"/>
    <row r="966" ht="16.5" customHeight="1" x14ac:dyDescent="0.15"/>
    <row r="967" ht="16.5" customHeight="1" x14ac:dyDescent="0.15"/>
    <row r="968" ht="16.5" customHeight="1" x14ac:dyDescent="0.15"/>
    <row r="969" ht="16.5" customHeight="1" x14ac:dyDescent="0.15"/>
    <row r="970" ht="16.5" customHeight="1" x14ac:dyDescent="0.15"/>
    <row r="971" ht="16.5" customHeight="1" x14ac:dyDescent="0.15"/>
    <row r="972" ht="16.5" customHeight="1" x14ac:dyDescent="0.15"/>
    <row r="973" ht="16.5" customHeight="1" x14ac:dyDescent="0.15"/>
    <row r="974" ht="16.5" customHeight="1" x14ac:dyDescent="0.15"/>
    <row r="975" ht="16.5" customHeight="1" x14ac:dyDescent="0.15"/>
    <row r="976" ht="16.5" customHeight="1" x14ac:dyDescent="0.15"/>
    <row r="977" ht="16.5" customHeight="1" x14ac:dyDescent="0.15"/>
    <row r="978" ht="16.5" customHeight="1" x14ac:dyDescent="0.15"/>
    <row r="979" ht="16.5" customHeight="1" x14ac:dyDescent="0.15"/>
    <row r="980" ht="16.5" customHeight="1" x14ac:dyDescent="0.15"/>
  </sheetData>
  <mergeCells count="1">
    <mergeCell ref="A1:P1"/>
  </mergeCells>
  <phoneticPr fontId="26" type="noConversion"/>
  <conditionalFormatting sqref="F102:F109 F110:G110 F111">
    <cfRule type="containsText" dxfId="98" priority="89" operator="containsText" text="Средний">
      <formula>NOT(ISERROR(SEARCH(("Средний"),(F102))))</formula>
    </cfRule>
    <cfRule type="containsText" dxfId="97" priority="90" operator="containsText" text="Низкий">
      <formula>NOT(ISERROR(SEARCH(("Низкий"),(F102))))</formula>
    </cfRule>
    <cfRule type="containsText" dxfId="96" priority="91" operator="containsText" text="Высокий">
      <formula>NOT(ISERROR(SEARCH(("Высокий"),(F102))))</formula>
    </cfRule>
    <cfRule type="containsText" dxfId="95" priority="92" operator="containsText" text="Средний">
      <formula>NOT(ISERROR(SEARCH(("Средний"),(F102))))</formula>
    </cfRule>
    <cfRule type="containsText" dxfId="94" priority="93" operator="containsText" text="Низкий">
      <formula>NOT(ISERROR(SEARCH(("Низкий"),(F102))))</formula>
    </cfRule>
    <cfRule type="containsText" dxfId="93" priority="94" operator="containsText" text="Высокий">
      <formula>NOT(ISERROR(SEARCH(("Высокий"),(F102))))</formula>
    </cfRule>
    <cfRule type="containsText" dxfId="92" priority="95" operator="containsText" text="Средний">
      <formula>NOT(ISERROR(SEARCH(("Средний"),(F102))))</formula>
    </cfRule>
    <cfRule type="containsText" dxfId="91" priority="96" operator="containsText" text="Низкий">
      <formula>NOT(ISERROR(SEARCH(("Низкий"),(F102))))</formula>
    </cfRule>
  </conditionalFormatting>
  <conditionalFormatting sqref="F4:G112 M4:M112">
    <cfRule type="containsText" dxfId="90" priority="100" operator="containsText" text="Высокий">
      <formula>NOT(ISERROR(SEARCH(("Высокий"),(F4))))</formula>
    </cfRule>
    <cfRule type="containsText" dxfId="89" priority="101" operator="containsText" text="Средний">
      <formula>NOT(ISERROR(SEARCH(("Средний"),(F4))))</formula>
    </cfRule>
    <cfRule type="containsText" dxfId="88" priority="102" operator="containsText" text="Низкий">
      <formula>NOT(ISERROR(SEARCH(("Низкий"),(F4))))</formula>
    </cfRule>
  </conditionalFormatting>
  <conditionalFormatting sqref="F93:G93">
    <cfRule type="containsText" dxfId="87" priority="97" operator="containsText" text="Высокий">
      <formula>NOT(ISERROR(SEARCH(("Высокий"),(F93))))</formula>
    </cfRule>
    <cfRule type="containsText" dxfId="86" priority="98" operator="containsText" text="Средний">
      <formula>NOT(ISERROR(SEARCH(("Средний"),(F93))))</formula>
    </cfRule>
    <cfRule type="containsText" dxfId="85" priority="99" operator="containsText" text="Низкий">
      <formula>NOT(ISERROR(SEARCH(("Низкий"),(F93))))</formula>
    </cfRule>
  </conditionalFormatting>
  <conditionalFormatting sqref="F110:G110 F102:F109 F111">
    <cfRule type="containsText" dxfId="84" priority="88" operator="containsText" text="Высокий">
      <formula>NOT(ISERROR(SEARCH(("Высокий"),(F102))))</formula>
    </cfRule>
  </conditionalFormatting>
  <conditionalFormatting sqref="G95:G96">
    <cfRule type="containsText" dxfId="83" priority="85" operator="containsText" text="Высокий">
      <formula>NOT(ISERROR(SEARCH(("Высокий"),(G95))))</formula>
    </cfRule>
    <cfRule type="containsText" dxfId="82" priority="86" operator="containsText" text="Средний">
      <formula>NOT(ISERROR(SEARCH(("Средний"),(G95))))</formula>
    </cfRule>
    <cfRule type="containsText" dxfId="81" priority="87" operator="containsText" text="Низкий">
      <formula>NOT(ISERROR(SEARCH(("Низкий"),(G95))))</formula>
    </cfRule>
  </conditionalFormatting>
  <conditionalFormatting sqref="G100">
    <cfRule type="containsText" dxfId="80" priority="82" operator="containsText" text="Высокий">
      <formula>NOT(ISERROR(SEARCH(("Высокий"),(G100))))</formula>
    </cfRule>
    <cfRule type="containsText" dxfId="79" priority="83" operator="containsText" text="Средний">
      <formula>NOT(ISERROR(SEARCH(("Средний"),(G100))))</formula>
    </cfRule>
    <cfRule type="containsText" dxfId="78" priority="84" operator="containsText" text="Низкий">
      <formula>NOT(ISERROR(SEARCH(("Низкий"),(G100))))</formula>
    </cfRule>
  </conditionalFormatting>
  <conditionalFormatting sqref="G104:G105">
    <cfRule type="containsText" dxfId="77" priority="79" operator="containsText" text="Высокий">
      <formula>NOT(ISERROR(SEARCH(("Высокий"),(G104))))</formula>
    </cfRule>
    <cfRule type="containsText" dxfId="76" priority="80" operator="containsText" text="Средний">
      <formula>NOT(ISERROR(SEARCH(("Средний"),(G104))))</formula>
    </cfRule>
    <cfRule type="containsText" dxfId="75" priority="81" operator="containsText" text="Низкий">
      <formula>NOT(ISERROR(SEARCH(("Низкий"),(G104))))</formula>
    </cfRule>
  </conditionalFormatting>
  <conditionalFormatting sqref="G110">
    <cfRule type="containsText" dxfId="74" priority="76" operator="containsText" text="Высокий">
      <formula>NOT(ISERROR(SEARCH(("Высокий"),(G110))))</formula>
    </cfRule>
    <cfRule type="containsText" dxfId="73" priority="77" operator="containsText" text="Средний">
      <formula>NOT(ISERROR(SEARCH(("Средний"),(G110))))</formula>
    </cfRule>
    <cfRule type="containsText" dxfId="72" priority="78" operator="containsText" text="Низкий">
      <formula>NOT(ISERROR(SEARCH(("Низкий"),(G110))))</formula>
    </cfRule>
  </conditionalFormatting>
  <conditionalFormatting sqref="I4:I112">
    <cfRule type="containsText" dxfId="71" priority="72" operator="containsText" text="Высокий">
      <formula>NOT(ISERROR(SEARCH(("Высокий"),(I4))))</formula>
    </cfRule>
    <cfRule type="containsText" dxfId="70" priority="73" operator="containsText" text="Средний">
      <formula>NOT(ISERROR(SEARCH(("Средний"),(I4))))</formula>
    </cfRule>
    <cfRule type="containsText" dxfId="69" priority="74" operator="containsText" text="Низкий">
      <formula>NOT(ISERROR(SEARCH(("Низкий"),(I4))))</formula>
    </cfRule>
  </conditionalFormatting>
  <conditionalFormatting sqref="I4:I112">
    <cfRule type="colorScale" priority="71">
      <colorScale>
        <cfvo type="min"/>
        <cfvo type="num" val="7"/>
        <cfvo type="max"/>
        <color rgb="FF92D050"/>
        <color rgb="FFFFC000"/>
        <color theme="5" tint="-0.249977111117893"/>
      </colorScale>
    </cfRule>
  </conditionalFormatting>
  <conditionalFormatting sqref="K1:L3 K41:L42 K4:K40 K52:L52 K43:K51 K57:L57 K53:K56 K112:L1048576 K58:K111">
    <cfRule type="colorScale" priority="70">
      <colorScale>
        <cfvo type="min"/>
        <cfvo type="percentile" val="50"/>
        <cfvo type="max"/>
        <color rgb="FF92D050"/>
        <color rgb="FFFFFF00"/>
        <color theme="5" tint="-0.249977111117893"/>
      </colorScale>
    </cfRule>
  </conditionalFormatting>
  <conditionalFormatting sqref="L19">
    <cfRule type="containsText" dxfId="53" priority="52" operator="containsText" text="Высокий">
      <formula>NOT(ISERROR(SEARCH(("Высокий"),(L19))))</formula>
    </cfRule>
    <cfRule type="containsText" dxfId="52" priority="53" operator="containsText" text="Средний">
      <formula>NOT(ISERROR(SEARCH(("Средний"),(L19))))</formula>
    </cfRule>
    <cfRule type="containsText" dxfId="51" priority="54" operator="containsText" text="Низкий">
      <formula>NOT(ISERROR(SEARCH(("Низкий"),(L19))))</formula>
    </cfRule>
  </conditionalFormatting>
  <conditionalFormatting sqref="L20:L21">
    <cfRule type="containsText" dxfId="50" priority="49" operator="containsText" text="Высокий">
      <formula>NOT(ISERROR(SEARCH(("Высокий"),(L20))))</formula>
    </cfRule>
    <cfRule type="containsText" dxfId="49" priority="50" operator="containsText" text="Средний">
      <formula>NOT(ISERROR(SEARCH(("Средний"),(L20))))</formula>
    </cfRule>
    <cfRule type="containsText" dxfId="48" priority="51" operator="containsText" text="Низкий">
      <formula>NOT(ISERROR(SEARCH(("Низкий"),(L20))))</formula>
    </cfRule>
  </conditionalFormatting>
  <conditionalFormatting sqref="L22:L24">
    <cfRule type="containsText" dxfId="47" priority="46" operator="containsText" text="Высокий">
      <formula>NOT(ISERROR(SEARCH(("Высокий"),(L22))))</formula>
    </cfRule>
    <cfRule type="containsText" dxfId="46" priority="47" operator="containsText" text="Средний">
      <formula>NOT(ISERROR(SEARCH(("Средний"),(L22))))</formula>
    </cfRule>
    <cfRule type="containsText" dxfId="45" priority="48" operator="containsText" text="Низкий">
      <formula>NOT(ISERROR(SEARCH(("Низкий"),(L22))))</formula>
    </cfRule>
  </conditionalFormatting>
  <conditionalFormatting sqref="L25">
    <cfRule type="containsText" dxfId="44" priority="43" operator="containsText" text="Высокий">
      <formula>NOT(ISERROR(SEARCH(("Высокий"),(L25))))</formula>
    </cfRule>
    <cfRule type="containsText" dxfId="43" priority="44" operator="containsText" text="Средний">
      <formula>NOT(ISERROR(SEARCH(("Средний"),(L25))))</formula>
    </cfRule>
    <cfRule type="containsText" dxfId="42" priority="45" operator="containsText" text="Низкий">
      <formula>NOT(ISERROR(SEARCH(("Низкий"),(L25))))</formula>
    </cfRule>
  </conditionalFormatting>
  <conditionalFormatting sqref="L26">
    <cfRule type="containsText" dxfId="41" priority="40" operator="containsText" text="Высокий">
      <formula>NOT(ISERROR(SEARCH(("Высокий"),(L26))))</formula>
    </cfRule>
    <cfRule type="containsText" dxfId="40" priority="41" operator="containsText" text="Средний">
      <formula>NOT(ISERROR(SEARCH(("Средний"),(L26))))</formula>
    </cfRule>
    <cfRule type="containsText" dxfId="39" priority="42" operator="containsText" text="Низкий">
      <formula>NOT(ISERROR(SEARCH(("Низкий"),(L26))))</formula>
    </cfRule>
  </conditionalFormatting>
  <conditionalFormatting sqref="L27">
    <cfRule type="containsText" dxfId="35" priority="34" operator="containsText" text="Высокий">
      <formula>NOT(ISERROR(SEARCH(("Высокий"),(L27))))</formula>
    </cfRule>
    <cfRule type="containsText" dxfId="34" priority="35" operator="containsText" text="Средний">
      <formula>NOT(ISERROR(SEARCH(("Средний"),(L27))))</formula>
    </cfRule>
    <cfRule type="containsText" dxfId="33" priority="36" operator="containsText" text="Низкий">
      <formula>NOT(ISERROR(SEARCH(("Низкий"),(L27))))</formula>
    </cfRule>
  </conditionalFormatting>
  <conditionalFormatting sqref="L28">
    <cfRule type="containsText" dxfId="32" priority="31" operator="containsText" text="Высокий">
      <formula>NOT(ISERROR(SEARCH(("Высокий"),(L28))))</formula>
    </cfRule>
    <cfRule type="containsText" dxfId="31" priority="32" operator="containsText" text="Средний">
      <formula>NOT(ISERROR(SEARCH(("Средний"),(L28))))</formula>
    </cfRule>
    <cfRule type="containsText" dxfId="30" priority="33" operator="containsText" text="Низкий">
      <formula>NOT(ISERROR(SEARCH(("Низкий"),(L28))))</formula>
    </cfRule>
  </conditionalFormatting>
  <conditionalFormatting sqref="L29">
    <cfRule type="containsText" dxfId="29" priority="28" operator="containsText" text="Высокий">
      <formula>NOT(ISERROR(SEARCH(("Высокий"),(L29))))</formula>
    </cfRule>
    <cfRule type="containsText" dxfId="28" priority="29" operator="containsText" text="Средний">
      <formula>NOT(ISERROR(SEARCH(("Средний"),(L29))))</formula>
    </cfRule>
    <cfRule type="containsText" dxfId="27" priority="30" operator="containsText" text="Низкий">
      <formula>NOT(ISERROR(SEARCH(("Низкий"),(L29))))</formula>
    </cfRule>
  </conditionalFormatting>
  <conditionalFormatting sqref="L4:L18">
    <cfRule type="containsText" dxfId="20" priority="19" operator="containsText" text="Высокий">
      <formula>NOT(ISERROR(SEARCH(("Высокий"),(L4))))</formula>
    </cfRule>
    <cfRule type="containsText" dxfId="19" priority="20" operator="containsText" text="Средний">
      <formula>NOT(ISERROR(SEARCH(("Средний"),(L4))))</formula>
    </cfRule>
    <cfRule type="containsText" dxfId="18" priority="21" operator="containsText" text="Низкий">
      <formula>NOT(ISERROR(SEARCH(("Низкий"),(L4))))</formula>
    </cfRule>
  </conditionalFormatting>
  <conditionalFormatting sqref="L30:L40">
    <cfRule type="containsText" dxfId="17" priority="16" operator="containsText" text="Высокий">
      <formula>NOT(ISERROR(SEARCH(("Высокий"),(L30))))</formula>
    </cfRule>
    <cfRule type="containsText" dxfId="16" priority="17" operator="containsText" text="Средний">
      <formula>NOT(ISERROR(SEARCH(("Средний"),(L30))))</formula>
    </cfRule>
    <cfRule type="containsText" dxfId="15" priority="18" operator="containsText" text="Низкий">
      <formula>NOT(ISERROR(SEARCH(("Низкий"),(L30))))</formula>
    </cfRule>
  </conditionalFormatting>
  <conditionalFormatting sqref="L43:L51">
    <cfRule type="containsText" dxfId="14" priority="13" operator="containsText" text="Высокий">
      <formula>NOT(ISERROR(SEARCH(("Высокий"),(L43))))</formula>
    </cfRule>
    <cfRule type="containsText" dxfId="13" priority="14" operator="containsText" text="Средний">
      <formula>NOT(ISERROR(SEARCH(("Средний"),(L43))))</formula>
    </cfRule>
    <cfRule type="containsText" dxfId="12" priority="15" operator="containsText" text="Низкий">
      <formula>NOT(ISERROR(SEARCH(("Низкий"),(L43))))</formula>
    </cfRule>
  </conditionalFormatting>
  <conditionalFormatting sqref="L53:L56">
    <cfRule type="containsText" dxfId="11" priority="10" operator="containsText" text="Высокий">
      <formula>NOT(ISERROR(SEARCH(("Высокий"),(L53))))</formula>
    </cfRule>
    <cfRule type="containsText" dxfId="10" priority="11" operator="containsText" text="Средний">
      <formula>NOT(ISERROR(SEARCH(("Средний"),(L53))))</formula>
    </cfRule>
    <cfRule type="containsText" dxfId="9" priority="12" operator="containsText" text="Низкий">
      <formula>NOT(ISERROR(SEARCH(("Низкий"),(L53))))</formula>
    </cfRule>
  </conditionalFormatting>
  <conditionalFormatting sqref="L58:L61">
    <cfRule type="containsText" dxfId="8" priority="7" operator="containsText" text="Высокий">
      <formula>NOT(ISERROR(SEARCH(("Высокий"),(L58))))</formula>
    </cfRule>
    <cfRule type="containsText" dxfId="7" priority="8" operator="containsText" text="Средний">
      <formula>NOT(ISERROR(SEARCH(("Средний"),(L58))))</formula>
    </cfRule>
    <cfRule type="containsText" dxfId="6" priority="9" operator="containsText" text="Низкий">
      <formula>NOT(ISERROR(SEARCH(("Низкий"),(L58))))</formula>
    </cfRule>
  </conditionalFormatting>
  <conditionalFormatting sqref="L62:L86 L88:L111">
    <cfRule type="containsText" dxfId="5" priority="4" operator="containsText" text="Высокий">
      <formula>NOT(ISERROR(SEARCH(("Высокий"),(L62))))</formula>
    </cfRule>
    <cfRule type="containsText" dxfId="4" priority="5" operator="containsText" text="Средний">
      <formula>NOT(ISERROR(SEARCH(("Средний"),(L62))))</formula>
    </cfRule>
    <cfRule type="containsText" dxfId="3" priority="6" operator="containsText" text="Низкий">
      <formula>NOT(ISERROR(SEARCH(("Низкий"),(L62))))</formula>
    </cfRule>
  </conditionalFormatting>
  <conditionalFormatting sqref="L87">
    <cfRule type="containsText" dxfId="2" priority="1" operator="containsText" text="Высокий">
      <formula>NOT(ISERROR(SEARCH(("Высокий"),(L87))))</formula>
    </cfRule>
    <cfRule type="containsText" dxfId="1" priority="2" operator="containsText" text="Средний">
      <formula>NOT(ISERROR(SEARCH(("Средний"),(L87))))</formula>
    </cfRule>
    <cfRule type="containsText" dxfId="0" priority="3" operator="containsText" text="Низкий">
      <formula>NOT(ISERROR(SEARCH(("Низкий"),(L87))))</formula>
    </cfRule>
  </conditionalFormatting>
  <dataValidations count="2">
    <dataValidation type="list" allowBlank="1" sqref="P4:P55 O4:O112 L32:L112 J4:K112 L16 P57:P111" xr:uid="{D316940B-1D83-444E-8FA0-D9BFEA22D4A2}">
      <formula1>"10 млн,&gt; 10 млн / Индивид.,5 млн,5-10 млн,&lt; 5 млн"</formula1>
    </dataValidation>
    <dataValidation type="list" allowBlank="1" sqref="H4:H112" xr:uid="{1F62EAEF-34D0-4479-9C75-AD38D016B28C}">
      <formula1>"Средний,Высокий,Низкий"</formula1>
    </dataValidation>
  </dataValidations>
  <pageMargins left="0.25" right="0.25" top="0.75" bottom="0.75" header="0.3" footer="0.3"/>
  <pageSetup paperSize="8" scale="65" fitToHeight="0" orientation="landscape"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Основной список!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Андрей Тимин</dc:creator>
  <cp:lastModifiedBy>Зайцев Сергей</cp:lastModifiedBy>
  <cp:lastPrinted>2026-04-06T07:57:20Z</cp:lastPrinted>
  <dcterms:created xsi:type="dcterms:W3CDTF">2025-11-11T12:11:50Z</dcterms:created>
  <dcterms:modified xsi:type="dcterms:W3CDTF">2026-04-20T15:17:28Z</dcterms:modified>
</cp:coreProperties>
</file>